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Type Classification" sheetId="2" state="visible" r:id="rId4"/>
    <sheet name="Metric Deep Dive" sheetId="3" state="visible" r:id="rId5"/>
    <sheet name="Risk &amp; Nudg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<sst xmlns="http://schemas.openxmlformats.org/spreadsheetml/2006/main" count="508" uniqueCount="148">
  <si>
    <t xml:space="preserve">VIVA ENGAGE  |  Community Health Score Dashboard  |  Purdue BAIM × Microsoft</t>
  </si>
  <si>
    <t xml:space="preserve">Blueprint Analytics  ·  Community types auto-classified via 4 signals  ·  AUR replaced by CDS (Avg Contributions/Author, norm 3.0)  ·  Spring 2026</t>
  </si>
  <si>
    <t xml:space="preserve">Communities Analyzed</t>
  </si>
  <si>
    <t xml:space="preserve">Avg CHS Score</t>
  </si>
  <si>
    <t xml:space="preserve">Critical Communities</t>
  </si>
  <si>
    <t xml:space="preserve">Avg Ghost Post Rate</t>
  </si>
  <si>
    <t xml:space="preserve">Avg CDS Score</t>
  </si>
  <si>
    <t xml:space="preserve">22</t>
  </si>
  <si>
    <t xml:space="preserve">26.4 / 100</t>
  </si>
  <si>
    <t xml:space="preserve">17 of 22</t>
  </si>
  <si>
    <t xml:space="preserve">32.1%</t>
  </si>
  <si>
    <t xml:space="preserve">57.0 / 100</t>
  </si>
  <si>
    <t xml:space="preserve">COMMUNITY HEALTH LEADERBOARD — RANKED BY CHS (TYPE-ADJUSTED WEIGHTS)</t>
  </si>
  <si>
    <t xml:space="preserve">🟢 Thriving ≥80   ·   🟡 Healthy 65–79   ·   🟠 Moderate Risk 50–64   ·   🔴 Declining 35–49   ·   ⛔ Critical &lt;35</t>
  </si>
  <si>
    <t xml:space="preserve">Community</t>
  </si>
  <si>
    <t xml:space="preserve">Source</t>
  </si>
  <si>
    <t xml:space="preserve">Community Type</t>
  </si>
  <si>
    <t xml:space="preserve">Tier</t>
  </si>
  <si>
    <t xml:space="preserve">T1
Engage</t>
  </si>
  <si>
    <t xml:space="preserve">T2
Respond</t>
  </si>
  <si>
    <t xml:space="preserve">T3
Content</t>
  </si>
  <si>
    <t xml:space="preserve">T4
Vitality</t>
  </si>
  <si>
    <t xml:space="preserve">Risk
Penalty</t>
  </si>
  <si>
    <t xml:space="preserve">CHS
Score</t>
  </si>
  <si>
    <t xml:space="preserve">Status</t>
  </si>
  <si>
    <t xml:space="preserve">Ghost
Post %</t>
  </si>
  <si>
    <t xml:space="preserve">SUDI %</t>
  </si>
  <si>
    <t xml:space="preserve">CDS
Score</t>
  </si>
  <si>
    <t xml:space="preserve">Top Nudge</t>
  </si>
  <si>
    <t xml:space="preserve">sveltejs/svelte</t>
  </si>
  <si>
    <t xml:space="preserve">GitHub</t>
  </si>
  <si>
    <t xml:space="preserve">🌱 New Community</t>
  </si>
  <si>
    <t xml:space="preserve">Mid</t>
  </si>
  <si>
    <t xml:space="preserve">Moderate Risk</t>
  </si>
  <si>
    <t xml:space="preserve">🟡 Designate on-call experts (#39)</t>
  </si>
  <si>
    <t xml:space="preserve">dotnet/runtime</t>
  </si>
  <si>
    <t xml:space="preserve">🏛️ Mature Community</t>
  </si>
  <si>
    <t xml:space="preserve">✅ Monitor and document what's working</t>
  </si>
  <si>
    <t xml:space="preserve">denoland/deno</t>
  </si>
  <si>
    <t xml:space="preserve">Declining</t>
  </si>
  <si>
    <t xml:space="preserve">ohmyzsh/ohmyzsh</t>
  </si>
  <si>
    <t xml:space="preserve">🤝 Support Community</t>
  </si>
  <si>
    <t xml:space="preserve">Popular</t>
  </si>
  <si>
    <t xml:space="preserve">expressjs/express</t>
  </si>
  <si>
    <t xml:space="preserve">Dead</t>
  </si>
  <si>
    <t xml:space="preserve">stackoverflow/data-science</t>
  </si>
  <si>
    <t xml:space="preserve">StackExchange</t>
  </si>
  <si>
    <t xml:space="preserve">⚙️ Tech/IT Community</t>
  </si>
  <si>
    <t xml:space="preserve">Critical</t>
  </si>
  <si>
    <t xml:space="preserve">🟡 Ask question needing multiple perspectives (#3)</t>
  </si>
  <si>
    <t xml:space="preserve">stackoverflow/c#</t>
  </si>
  <si>
    <t xml:space="preserve">stackoverflow/javascript</t>
  </si>
  <si>
    <t xml:space="preserve">stackoverflow/reactjs</t>
  </si>
  <si>
    <t xml:space="preserve">stackoverflow/microsoft-graph</t>
  </si>
  <si>
    <t xml:space="preserve">Niche</t>
  </si>
  <si>
    <t xml:space="preserve">stackoverflow/java</t>
  </si>
  <si>
    <t xml:space="preserve">🟡 Reply to oldest unanswered posts (#30)</t>
  </si>
  <si>
    <t xml:space="preserve">stackoverflow/yammer</t>
  </si>
  <si>
    <t xml:space="preserve">lodash/lodash</t>
  </si>
  <si>
    <t xml:space="preserve">stackoverflow/python</t>
  </si>
  <si>
    <t xml:space="preserve">vuejs/core</t>
  </si>
  <si>
    <t xml:space="preserve">stackoverflow/typescript</t>
  </si>
  <si>
    <t xml:space="preserve">stackoverflow/machine-learning</t>
  </si>
  <si>
    <t xml:space="preserve">stackoverflow/streamlit</t>
  </si>
  <si>
    <t xml:space="preserve">stackoverflow/flask</t>
  </si>
  <si>
    <t xml:space="preserve">stackoverflow/docker</t>
  </si>
  <si>
    <t xml:space="preserve">🔴 No post unanswered &gt;48 hrs (#31)</t>
  </si>
  <si>
    <t xml:space="preserve">moby/moby</t>
  </si>
  <si>
    <t xml:space="preserve">vercel/next.js</t>
  </si>
  <si>
    <t xml:space="preserve">COMMUNITY TYPE AUTO-CLASSIFICATION  |  4-Signal Evidence Model</t>
  </si>
  <si>
    <t xml:space="preserve">Signals: Maturity Score · Tech Density · Code Density · Reply Richness · Help Category Ratio  →  Type determines CHS weight profile</t>
  </si>
  <si>
    <t xml:space="preserve">🌱 New = Low maturity + High NCR   ·   ⚙️ Tech = High tech/code density   ·   🤝 Support = High help category ratio   ·   🏛️ Mature = High maturity score</t>
  </si>
  <si>
    <t xml:space="preserve">Original
Tier</t>
  </si>
  <si>
    <t xml:space="preserve">Maturity
Score</t>
  </si>
  <si>
    <t xml:space="preserve">Tech
Score</t>
  </si>
  <si>
    <t xml:space="preserve">Code
Density</t>
  </si>
  <si>
    <t xml:space="preserve">Reply
Richness</t>
  </si>
  <si>
    <t xml:space="preserve">Help Cat
Ratio</t>
  </si>
  <si>
    <t xml:space="preserve">Answered
Rate</t>
  </si>
  <si>
    <t xml:space="preserve">NCR %</t>
  </si>
  <si>
    <t xml:space="preserve">→ Type Assigned</t>
  </si>
  <si>
    <t xml:space="preserve">Classification Reasoning</t>
  </si>
  <si>
    <t xml:space="preserve">Help categories=88%, Maturity=0.11 → peer support pattern</t>
  </si>
  <si>
    <t xml:space="preserve">Help categories=88%, Maturity=0.23 → peer support pattern</t>
  </si>
  <si>
    <t xml:space="preserve">Help categories=56%, Maturity=0.15 → peer support pattern</t>
  </si>
  <si>
    <t xml:space="preserve">Maturity=0.20 (low), NCR=88% (high) → growing/emerging community</t>
  </si>
  <si>
    <t xml:space="preserve">Maturity=0.27, Tech=0.43 → established community</t>
  </si>
  <si>
    <t xml:space="preserve">Tech=0.64, Code=59% → leaning technical</t>
  </si>
  <si>
    <t xml:space="preserve">Maturity=0.28, Tech=0.39 → established community</t>
  </si>
  <si>
    <t xml:space="preserve">Maturity=0.28, Tech=0.34 → established community</t>
  </si>
  <si>
    <t xml:space="preserve">Tech=0.65, Code=75% → technical problem-solving community</t>
  </si>
  <si>
    <t xml:space="preserve">Tech=0.70, Code=75% → technical problem-solving community</t>
  </si>
  <si>
    <t xml:space="preserve">Tech=0.68, Code=72% → technical problem-solving community</t>
  </si>
  <si>
    <t xml:space="preserve">Tech=0.72, Code=75% → technical problem-solving community</t>
  </si>
  <si>
    <t xml:space="preserve">Tech=0.72, Code=77% → technical problem-solving community</t>
  </si>
  <si>
    <t xml:space="preserve">Tech=0.68, Code=79% → technical problem-solving community</t>
  </si>
  <si>
    <t xml:space="preserve">Tech=0.73, Code=79% → technical problem-solving community</t>
  </si>
  <si>
    <t xml:space="preserve">Tech=0.81, Code=87% → technical problem-solving community</t>
  </si>
  <si>
    <t xml:space="preserve">Tech=0.81, Code=88% → technical problem-solving community</t>
  </si>
  <si>
    <t xml:space="preserve">Tech=0.81, Code=89% → technical problem-solving community</t>
  </si>
  <si>
    <t xml:space="preserve">Maturity=1.00 (high), Tech=0.42 (low) → established non-tech community</t>
  </si>
  <si>
    <t xml:space="preserve">Tech=0.85, Code=84% → technical problem-solving community</t>
  </si>
  <si>
    <t xml:space="preserve">Tech=0.79, Code=87% → technical problem-solving community</t>
  </si>
  <si>
    <t xml:space="preserve">METRIC DEEP DIVE  |  All Sub-Scores by Theme  |  AUR replaced by CDS (Avg Contributions per Author, normalized to 3.0)</t>
  </si>
  <si>
    <t xml:space="preserve">Color scale: 🟢 Score ≥65   🟡 Score 45–64   🔴 Score &lt;45   |   For MTFR hrs, Ghost%, SUDI%: lower values are better</t>
  </si>
  <si>
    <t xml:space="preserve">T1: ENGAGEMENT &amp; ACTIVITY</t>
  </si>
  <si>
    <t xml:space="preserve">T2: RESPONSIVENESS &amp; DIALOGUE</t>
  </si>
  <si>
    <t xml:space="preserve">T3: CONTENT QUALITY</t>
  </si>
  <si>
    <t xml:space="preserve">T4: VITALITY &amp; SUSTAINABILITY</t>
  </si>
  <si>
    <t xml:space="preserve">T5: RISK SIGNALS</t>
  </si>
  <si>
    <t xml:space="preserve">Type</t>
  </si>
  <si>
    <t xml:space="preserve">Avg Contribs
/Author</t>
  </si>
  <si>
    <t xml:space="preserve">RPR
Score</t>
  </si>
  <si>
    <t xml:space="preserve">UCT
Score</t>
  </si>
  <si>
    <t xml:space="preserve">Gini</t>
  </si>
  <si>
    <t xml:space="preserve">MTFR
Hrs</t>
  </si>
  <si>
    <t xml:space="preserve">MTFR
Score</t>
  </si>
  <si>
    <t xml:space="preserve">24CR
Score</t>
  </si>
  <si>
    <t xml:space="preserve">TCR
Score</t>
  </si>
  <si>
    <t xml:space="preserve">SBS
Score</t>
  </si>
  <si>
    <t xml:space="preserve">HTR
Score</t>
  </si>
  <si>
    <t xml:space="preserve">ARR
Score</t>
  </si>
  <si>
    <t xml:space="preserve">T3
Total</t>
  </si>
  <si>
    <t xml:space="preserve">NCR
Score</t>
  </si>
  <si>
    <t xml:space="preserve">RR
Score</t>
  </si>
  <si>
    <t xml:space="preserve">T4
Total</t>
  </si>
  <si>
    <t xml:space="preserve">GPR %</t>
  </si>
  <si>
    <t xml:space="preserve">Pen
GPR</t>
  </si>
  <si>
    <t xml:space="preserve">Pen
SUDI</t>
  </si>
  <si>
    <t xml:space="preserve">🌱 New</t>
  </si>
  <si>
    <t xml:space="preserve">🏛️ Mature</t>
  </si>
  <si>
    <t xml:space="preserve">🤝 Support</t>
  </si>
  <si>
    <t xml:space="preserve">⚙️ Tech</t>
  </si>
  <si>
    <t xml:space="preserve">ℹ️  CDS (Contributor Depth Score) replaces AUR. Formula: Avg contributions per author, normalized so 3.0 avg = score 100. AUR was retired because our scraped dataset contains only active users — making AUR trivially 100% for every community. CDS measures engagement depth per contributor, producing meaningful variation (observed range: 1.22–2.77).</t>
  </si>
  <si>
    <t xml:space="preserve">RISK REGISTER &amp; ACTIONABLE NUDGES  |  Tied to CHS Framework 41-Nudge System</t>
  </si>
  <si>
    <t xml:space="preserve">🔴 CRITICAL = act now  ·  🟡 WARNING = act within 2 weeks  ·  🟢 OPTIMIZE = enhancement opportunity</t>
  </si>
  <si>
    <t xml:space="preserve">Ghost Post Rate (GPR) and Super-User Dependency Index (SUDI) are the primary risk drivers. Penalty = GPR × 0.5 (max –25 pts) + SUDI penalty scale (–5 to –20 pts based on threshold).</t>
  </si>
  <si>
    <t xml:space="preserve">CHS</t>
  </si>
  <si>
    <t xml:space="preserve">GPR
Penalty</t>
  </si>
  <si>
    <t xml:space="preserve">SUDI
Penalty</t>
  </si>
  <si>
    <t xml:space="preserve">Priority</t>
  </si>
  <si>
    <t xml:space="preserve">Primary Nudge</t>
  </si>
  <si>
    <t xml:space="preserve">Secondary Nudge</t>
  </si>
  <si>
    <t xml:space="preserve">🟢 OPTIMIZE</t>
  </si>
  <si>
    <t xml:space="preserve">Create recurring event members can anticipate (#25)</t>
  </si>
  <si>
    <t xml:space="preserve">🟡 WARNING</t>
  </si>
  <si>
    <t xml:space="preserve">🔴 CRITICAL</t>
  </si>
  <si>
    <t xml:space="preserve">🔴 Set up post notifications (#10)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</si>
</sst>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ADCFC"/>
      <name val="Arial"/>
      <family val="0"/>
      <charset val="1"/>
    </font>
    <font>
      <b val="true"/>
      <sz val="8"/>
      <color rgb="FF1E45A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3D4F6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2340"/>
      <name val="Arial"/>
      <family val="0"/>
      <charset val="1"/>
    </font>
    <font>
      <sz val="9"/>
      <color rgb="FF4A4A6A"/>
      <name val="Arial"/>
      <family val="0"/>
      <charset val="1"/>
    </font>
    <font>
      <b val="true"/>
      <sz val="9"/>
      <color rgb="FFC86A00"/>
      <name val="Arial"/>
      <family val="0"/>
      <charset val="1"/>
    </font>
    <font>
      <b val="true"/>
      <sz val="9"/>
      <color rgb="FF25604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C86A00"/>
      <name val="Arial"/>
      <family val="0"/>
      <charset val="1"/>
    </font>
    <font>
      <sz val="9"/>
      <color rgb="FFC86A00"/>
      <name val="Arial"/>
      <family val="0"/>
      <charset val="1"/>
    </font>
    <font>
      <i val="true"/>
      <sz val="8"/>
      <color rgb="FF4A4A6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8"/>
      <color rgb="FF256045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CADCF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3D4F65"/>
      <name val="Arial"/>
      <family val="0"/>
      <charset val="1"/>
    </font>
    <font>
      <b val="true"/>
      <sz val="9"/>
      <color rgb="FF1E45A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4A4A6A"/>
      <name val="Arial"/>
      <family val="0"/>
      <charset val="1"/>
    </font>
    <font>
      <i val="true"/>
      <sz val="8"/>
      <color rgb="FF1E45A0"/>
      <name val="Arial"/>
      <family val="0"/>
      <charset val="1"/>
    </font>
    <font>
      <b val="true"/>
      <sz val="10"/>
      <color rgb="FFC86A00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340"/>
        <bgColor rgb="FF2C3E6E"/>
      </patternFill>
    </fill>
    <fill>
      <patternFill patternType="solid">
        <fgColor rgb="FF1E45A0"/>
        <bgColor rgb="FF2C3E6E"/>
      </patternFill>
    </fill>
    <fill>
      <patternFill patternType="solid">
        <fgColor rgb="FFF5F0E8"/>
        <bgColor rgb="FFFDF2F0"/>
      </patternFill>
    </fill>
    <fill>
      <patternFill patternType="solid">
        <fgColor rgb="FFC0392B"/>
        <bgColor rgb="FF993366"/>
      </patternFill>
    </fill>
    <fill>
      <patternFill patternType="solid">
        <fgColor rgb="FFC86A00"/>
        <bgColor rgb="FFC0392B"/>
      </patternFill>
    </fill>
    <fill>
      <patternFill patternType="solid">
        <fgColor rgb="FF256045"/>
        <bgColor rgb="FF3D4F65"/>
      </patternFill>
    </fill>
    <fill>
      <patternFill patternType="solid">
        <fgColor rgb="FF3D4F65"/>
        <bgColor rgb="FF4A4A6A"/>
      </patternFill>
    </fill>
    <fill>
      <patternFill patternType="solid">
        <fgColor rgb="FFEDF2F8"/>
        <bgColor rgb="FFEBF2FD"/>
      </patternFill>
    </fill>
    <fill>
      <patternFill patternType="solid">
        <fgColor rgb="FFFFFFFF"/>
        <bgColor rgb="FFF8F9FA"/>
      </patternFill>
    </fill>
    <fill>
      <patternFill patternType="solid">
        <fgColor rgb="FFEBF2FD"/>
        <bgColor rgb="FFEDF2F8"/>
      </patternFill>
    </fill>
    <fill>
      <patternFill patternType="solid">
        <fgColor rgb="FFFEF6E4"/>
        <bgColor rgb="FFFDF2F0"/>
      </patternFill>
    </fill>
    <fill>
      <patternFill patternType="solid">
        <fgColor rgb="FFE8F5EE"/>
        <bgColor rgb="FFEDF2F8"/>
      </patternFill>
    </fill>
    <fill>
      <patternFill patternType="solid">
        <fgColor rgb="FFFDF2F0"/>
        <bgColor rgb="FFFEF6E4"/>
      </patternFill>
    </fill>
    <fill>
      <patternFill patternType="solid">
        <fgColor rgb="FFF8F9FA"/>
        <bgColor rgb="FFFFFFFF"/>
      </patternFill>
    </fill>
    <fill>
      <patternFill patternType="solid">
        <fgColor rgb="FFFADBD8"/>
        <bgColor rgb="FFFDE8B8"/>
      </patternFill>
    </fill>
    <fill>
      <patternFill patternType="solid">
        <fgColor rgb="FF7A5C00"/>
        <bgColor rgb="FFC86A00"/>
      </patternFill>
    </fill>
    <fill>
      <patternFill patternType="solid">
        <fgColor rgb="FFC8ECD8"/>
        <bgColor rgb="FFD5D8DC"/>
      </patternFill>
    </fill>
    <fill>
      <patternFill patternType="solid">
        <fgColor rgb="FFFDE8B8"/>
        <bgColor rgb="FFFADB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C3E6E"/>
      </left>
      <right style="thin">
        <color rgb="FF2C3E6E"/>
      </right>
      <top style="thin">
        <color rgb="FF2C3E6E"/>
      </top>
      <bottom style="thin">
        <color rgb="FF2C3E6E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7A5C00"/>
      <rgbColor rgb="FF800080"/>
      <rgbColor rgb="FF256045"/>
      <rgbColor rgb="FFD5D8DC"/>
      <rgbColor rgb="FF808080"/>
      <rgbColor rgb="FF9999FF"/>
      <rgbColor rgb="FF993366"/>
      <rgbColor rgb="FFFEF6E4"/>
      <rgbColor rgb="FFE8F5EE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D"/>
      <rgbColor rgb="FFC8ECD8"/>
      <rgbColor rgb="FFFDE8B8"/>
      <rgbColor rgb="FFEDF2F8"/>
      <rgbColor rgb="FFF5F0E8"/>
      <rgbColor rgb="FFFDF2F0"/>
      <rgbColor rgb="FFFADBD8"/>
      <rgbColor rgb="FF3366FF"/>
      <rgbColor rgb="FF33CCCC"/>
      <rgbColor rgb="FF99CC00"/>
      <rgbColor rgb="FFFFCC00"/>
      <rgbColor rgb="FFFF9900"/>
      <rgbColor rgb="FFC86A00"/>
      <rgbColor rgb="FF4A4A6A"/>
      <rgbColor rgb="FF969696"/>
      <rgbColor rgb="FF1E45A0"/>
      <rgbColor rgb="FF339966"/>
      <rgbColor rgb="FF003300"/>
      <rgbColor rgb="FF3D4F65"/>
      <rgbColor rgb="FFC0392B"/>
      <rgbColor rgb="FF993366"/>
      <rgbColor rgb="FF2C3E6E"/>
      <rgbColor rgb="FF1A23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9" min="6" style="0" width="9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36"/>
  </cols>
  <sheetData>
    <row r="1" customFormat="false" ht="6" hidden="false" customHeight="true" outlineLevel="0" collapsed="false">
      <c r="A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.75" hidden="false" customHeight="true" outlineLevel="0" collapsed="false">
      <c r="A5" s="5"/>
      <c r="B5" s="6" t="s">
        <v>2</v>
      </c>
      <c r="C5" s="5"/>
      <c r="D5" s="5"/>
      <c r="E5" s="6" t="s">
        <v>3</v>
      </c>
      <c r="F5" s="5"/>
      <c r="G5" s="5"/>
      <c r="H5" s="6" t="s">
        <v>4</v>
      </c>
      <c r="I5" s="5"/>
      <c r="J5" s="5"/>
      <c r="K5" s="6" t="s">
        <v>5</v>
      </c>
      <c r="L5" s="5"/>
      <c r="M5" s="5"/>
      <c r="N5" s="6" t="s">
        <v>6</v>
      </c>
      <c r="O5" s="5"/>
      <c r="P5" s="5"/>
    </row>
    <row r="6" customFormat="false" ht="3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36" hidden="false" customHeight="true" outlineLevel="0" collapsed="false">
      <c r="B7" s="7" t="s">
        <v>7</v>
      </c>
      <c r="C7" s="7"/>
      <c r="D7" s="7"/>
      <c r="E7" s="8" t="s">
        <v>8</v>
      </c>
      <c r="F7" s="8"/>
      <c r="G7" s="8"/>
      <c r="H7" s="8" t="s">
        <v>9</v>
      </c>
      <c r="I7" s="8"/>
      <c r="J7" s="8"/>
      <c r="K7" s="9" t="s">
        <v>10</v>
      </c>
      <c r="L7" s="9"/>
      <c r="M7" s="9"/>
      <c r="N7" s="10" t="s">
        <v>11</v>
      </c>
      <c r="O7" s="10"/>
      <c r="P7" s="10"/>
    </row>
    <row r="8" customFormat="false" ht="6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6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21.75" hidden="false" customHeight="true" outlineLevel="0" collapsed="false">
      <c r="A10" s="11"/>
      <c r="B10" s="12" t="s">
        <v>12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5.75" hidden="false" customHeight="true" outlineLevel="0" collapsed="false">
      <c r="A11" s="13"/>
      <c r="B11" s="14" t="s">
        <v>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customFormat="false" ht="36" hidden="false" customHeight="true" outlineLevel="0" collapsed="false">
      <c r="B12" s="15" t="s">
        <v>14</v>
      </c>
      <c r="C12" s="15" t="s">
        <v>15</v>
      </c>
      <c r="D12" s="15" t="s">
        <v>16</v>
      </c>
      <c r="E12" s="15" t="s">
        <v>17</v>
      </c>
      <c r="F12" s="15" t="s">
        <v>18</v>
      </c>
      <c r="G12" s="15" t="s">
        <v>19</v>
      </c>
      <c r="H12" s="15" t="s">
        <v>20</v>
      </c>
      <c r="I12" s="15" t="s">
        <v>21</v>
      </c>
      <c r="J12" s="15" t="s">
        <v>22</v>
      </c>
      <c r="K12" s="15" t="s">
        <v>23</v>
      </c>
      <c r="L12" s="15" t="s">
        <v>24</v>
      </c>
      <c r="M12" s="15" t="s">
        <v>25</v>
      </c>
      <c r="N12" s="15" t="s">
        <v>26</v>
      </c>
      <c r="O12" s="15" t="s">
        <v>27</v>
      </c>
      <c r="P12" s="15" t="s">
        <v>28</v>
      </c>
    </row>
    <row r="13" customFormat="false" ht="18" hidden="false" customHeight="true" outlineLevel="0" collapsed="false">
      <c r="B13" s="16" t="s">
        <v>29</v>
      </c>
      <c r="C13" s="17" t="s">
        <v>30</v>
      </c>
      <c r="D13" s="18" t="s">
        <v>31</v>
      </c>
      <c r="E13" s="19" t="s">
        <v>32</v>
      </c>
      <c r="F13" s="20" t="n">
        <v>57.6</v>
      </c>
      <c r="G13" s="21" t="n">
        <v>68.6</v>
      </c>
      <c r="H13" s="22" t="n">
        <v>44.1</v>
      </c>
      <c r="I13" s="20" t="n">
        <v>63.6</v>
      </c>
      <c r="J13" s="22" t="n">
        <v>-4.2</v>
      </c>
      <c r="K13" s="23" t="n">
        <v>54.7</v>
      </c>
      <c r="L13" s="24" t="s">
        <v>33</v>
      </c>
      <c r="M13" s="21" t="n">
        <v>12</v>
      </c>
      <c r="N13" s="25" t="n">
        <v>18.4</v>
      </c>
      <c r="O13" s="26" t="n">
        <v>70.4</v>
      </c>
      <c r="P13" s="27" t="s">
        <v>34</v>
      </c>
    </row>
    <row r="14" customFormat="false" ht="18" hidden="false" customHeight="true" outlineLevel="0" collapsed="false">
      <c r="B14" s="28" t="s">
        <v>35</v>
      </c>
      <c r="C14" s="17" t="s">
        <v>30</v>
      </c>
      <c r="D14" s="29" t="s">
        <v>36</v>
      </c>
      <c r="E14" s="30" t="s">
        <v>32</v>
      </c>
      <c r="F14" s="21" t="n">
        <v>79.4</v>
      </c>
      <c r="G14" s="20" t="n">
        <v>51</v>
      </c>
      <c r="H14" s="20" t="n">
        <v>54.3</v>
      </c>
      <c r="I14" s="20" t="n">
        <v>45.8</v>
      </c>
      <c r="J14" s="22" t="n">
        <v>-4</v>
      </c>
      <c r="K14" s="23" t="n">
        <v>50.2</v>
      </c>
      <c r="L14" s="24" t="s">
        <v>33</v>
      </c>
      <c r="M14" s="21" t="n">
        <v>8</v>
      </c>
      <c r="N14" s="25" t="n">
        <v>18</v>
      </c>
      <c r="O14" s="31" t="n">
        <v>92.4</v>
      </c>
      <c r="P14" s="32" t="s">
        <v>37</v>
      </c>
    </row>
    <row r="15" customFormat="false" ht="18" hidden="false" customHeight="true" outlineLevel="0" collapsed="false">
      <c r="B15" s="16" t="s">
        <v>38</v>
      </c>
      <c r="C15" s="17" t="s">
        <v>30</v>
      </c>
      <c r="D15" s="18" t="s">
        <v>31</v>
      </c>
      <c r="E15" s="19" t="s">
        <v>32</v>
      </c>
      <c r="F15" s="20" t="n">
        <v>46.3</v>
      </c>
      <c r="G15" s="20" t="n">
        <v>47.8</v>
      </c>
      <c r="H15" s="22" t="n">
        <v>38.2</v>
      </c>
      <c r="I15" s="20" t="n">
        <v>61.6</v>
      </c>
      <c r="J15" s="22" t="n">
        <v>-4.2</v>
      </c>
      <c r="K15" s="33" t="n">
        <v>45.4</v>
      </c>
      <c r="L15" s="34" t="s">
        <v>39</v>
      </c>
      <c r="M15" s="21" t="n">
        <v>12</v>
      </c>
      <c r="N15" s="26" t="n">
        <v>12.5</v>
      </c>
      <c r="O15" s="26" t="n">
        <v>61</v>
      </c>
      <c r="P15" s="27" t="s">
        <v>34</v>
      </c>
    </row>
    <row r="16" customFormat="false" ht="18" hidden="false" customHeight="true" outlineLevel="0" collapsed="false">
      <c r="B16" s="28" t="s">
        <v>40</v>
      </c>
      <c r="C16" s="17" t="s">
        <v>30</v>
      </c>
      <c r="D16" s="29" t="s">
        <v>41</v>
      </c>
      <c r="E16" s="30" t="s">
        <v>42</v>
      </c>
      <c r="F16" s="20" t="n">
        <v>60.9</v>
      </c>
      <c r="G16" s="22" t="n">
        <v>28.7</v>
      </c>
      <c r="H16" s="20" t="n">
        <v>57.6</v>
      </c>
      <c r="I16" s="20" t="n">
        <v>52</v>
      </c>
      <c r="J16" s="22" t="n">
        <v>-8</v>
      </c>
      <c r="K16" s="33" t="n">
        <v>43.5</v>
      </c>
      <c r="L16" s="34" t="s">
        <v>39</v>
      </c>
      <c r="M16" s="21" t="n">
        <v>16</v>
      </c>
      <c r="N16" s="25" t="n">
        <v>17.6</v>
      </c>
      <c r="O16" s="31" t="n">
        <v>67.5</v>
      </c>
      <c r="P16" s="32" t="s">
        <v>34</v>
      </c>
    </row>
    <row r="17" customFormat="false" ht="18" hidden="false" customHeight="true" outlineLevel="0" collapsed="false">
      <c r="B17" s="16" t="s">
        <v>43</v>
      </c>
      <c r="C17" s="17" t="s">
        <v>30</v>
      </c>
      <c r="D17" s="18" t="s">
        <v>36</v>
      </c>
      <c r="E17" s="19" t="s">
        <v>44</v>
      </c>
      <c r="F17" s="20" t="n">
        <v>61.5</v>
      </c>
      <c r="G17" s="22" t="n">
        <v>33.1</v>
      </c>
      <c r="H17" s="22" t="n">
        <v>41.9</v>
      </c>
      <c r="I17" s="22" t="n">
        <v>44.1</v>
      </c>
      <c r="J17" s="22" t="n">
        <v>-8</v>
      </c>
      <c r="K17" s="33" t="n">
        <v>35.4</v>
      </c>
      <c r="L17" s="34" t="s">
        <v>39</v>
      </c>
      <c r="M17" s="21" t="n">
        <v>16</v>
      </c>
      <c r="N17" s="25" t="n">
        <v>20</v>
      </c>
      <c r="O17" s="26" t="n">
        <v>67.5</v>
      </c>
      <c r="P17" s="27" t="s">
        <v>34</v>
      </c>
    </row>
    <row r="18" customFormat="false" ht="18" hidden="false" customHeight="true" outlineLevel="0" collapsed="false">
      <c r="B18" s="28" t="s">
        <v>45</v>
      </c>
      <c r="C18" s="35" t="s">
        <v>46</v>
      </c>
      <c r="D18" s="29" t="s">
        <v>47</v>
      </c>
      <c r="E18" s="30" t="s">
        <v>32</v>
      </c>
      <c r="F18" s="22" t="n">
        <v>35.2</v>
      </c>
      <c r="G18" s="22" t="n">
        <v>31</v>
      </c>
      <c r="H18" s="20" t="n">
        <v>55.5</v>
      </c>
      <c r="I18" s="20" t="n">
        <v>47.6</v>
      </c>
      <c r="J18" s="22" t="n">
        <v>-8.8</v>
      </c>
      <c r="K18" s="36" t="n">
        <v>32.9</v>
      </c>
      <c r="L18" s="37" t="s">
        <v>48</v>
      </c>
      <c r="M18" s="21" t="n">
        <v>17.6</v>
      </c>
      <c r="N18" s="25" t="n">
        <v>17.7</v>
      </c>
      <c r="O18" s="31" t="n">
        <v>41.4</v>
      </c>
      <c r="P18" s="32" t="s">
        <v>49</v>
      </c>
    </row>
    <row r="19" customFormat="false" ht="18" hidden="false" customHeight="true" outlineLevel="0" collapsed="false">
      <c r="B19" s="16" t="s">
        <v>50</v>
      </c>
      <c r="C19" s="35" t="s">
        <v>46</v>
      </c>
      <c r="D19" s="18" t="s">
        <v>47</v>
      </c>
      <c r="E19" s="19" t="s">
        <v>42</v>
      </c>
      <c r="F19" s="20" t="n">
        <v>46.8</v>
      </c>
      <c r="G19" s="22" t="n">
        <v>30.4</v>
      </c>
      <c r="H19" s="20" t="n">
        <v>54.5</v>
      </c>
      <c r="I19" s="20" t="n">
        <v>51.3</v>
      </c>
      <c r="J19" s="22" t="n">
        <v>-15</v>
      </c>
      <c r="K19" s="36" t="n">
        <v>29.1</v>
      </c>
      <c r="L19" s="37" t="s">
        <v>48</v>
      </c>
      <c r="M19" s="20" t="n">
        <v>30</v>
      </c>
      <c r="N19" s="25" t="n">
        <v>26.3</v>
      </c>
      <c r="O19" s="26" t="n">
        <v>63</v>
      </c>
      <c r="P19" s="27" t="s">
        <v>34</v>
      </c>
    </row>
    <row r="20" customFormat="false" ht="18" hidden="false" customHeight="true" outlineLevel="0" collapsed="false">
      <c r="B20" s="28" t="s">
        <v>51</v>
      </c>
      <c r="C20" s="35" t="s">
        <v>46</v>
      </c>
      <c r="D20" s="29" t="s">
        <v>47</v>
      </c>
      <c r="E20" s="30" t="s">
        <v>42</v>
      </c>
      <c r="F20" s="22" t="n">
        <v>42.1</v>
      </c>
      <c r="G20" s="22" t="n">
        <v>31.3</v>
      </c>
      <c r="H20" s="20" t="n">
        <v>54.5</v>
      </c>
      <c r="I20" s="20" t="n">
        <v>48.7</v>
      </c>
      <c r="J20" s="22" t="n">
        <v>-14.1</v>
      </c>
      <c r="K20" s="36" t="n">
        <v>29</v>
      </c>
      <c r="L20" s="37" t="s">
        <v>48</v>
      </c>
      <c r="M20" s="20" t="n">
        <v>28.2</v>
      </c>
      <c r="N20" s="25" t="n">
        <v>23.9</v>
      </c>
      <c r="O20" s="31" t="n">
        <v>49.9</v>
      </c>
      <c r="P20" s="32" t="s">
        <v>34</v>
      </c>
    </row>
    <row r="21" customFormat="false" ht="18" hidden="false" customHeight="true" outlineLevel="0" collapsed="false">
      <c r="B21" s="16" t="s">
        <v>52</v>
      </c>
      <c r="C21" s="35" t="s">
        <v>46</v>
      </c>
      <c r="D21" s="18" t="s">
        <v>47</v>
      </c>
      <c r="E21" s="19" t="s">
        <v>42</v>
      </c>
      <c r="F21" s="22" t="n">
        <v>35.6</v>
      </c>
      <c r="G21" s="22" t="n">
        <v>30.5</v>
      </c>
      <c r="H21" s="20" t="n">
        <v>52.7</v>
      </c>
      <c r="I21" s="20" t="n">
        <v>47.6</v>
      </c>
      <c r="J21" s="22" t="n">
        <v>-13.6</v>
      </c>
      <c r="K21" s="36" t="n">
        <v>27.2</v>
      </c>
      <c r="L21" s="37" t="s">
        <v>48</v>
      </c>
      <c r="M21" s="20" t="n">
        <v>27.2</v>
      </c>
      <c r="N21" s="25" t="n">
        <v>21.7</v>
      </c>
      <c r="O21" s="26" t="n">
        <v>46.9</v>
      </c>
      <c r="P21" s="27" t="s">
        <v>34</v>
      </c>
    </row>
    <row r="22" customFormat="false" ht="18" hidden="false" customHeight="true" outlineLevel="0" collapsed="false">
      <c r="B22" s="28" t="s">
        <v>53</v>
      </c>
      <c r="C22" s="35" t="s">
        <v>46</v>
      </c>
      <c r="D22" s="29" t="s">
        <v>47</v>
      </c>
      <c r="E22" s="30" t="s">
        <v>54</v>
      </c>
      <c r="F22" s="22" t="n">
        <v>35.4</v>
      </c>
      <c r="G22" s="22" t="n">
        <v>23.4</v>
      </c>
      <c r="H22" s="20" t="n">
        <v>57.2</v>
      </c>
      <c r="I22" s="20" t="n">
        <v>50.5</v>
      </c>
      <c r="J22" s="22" t="n">
        <v>-13.4</v>
      </c>
      <c r="K22" s="36" t="n">
        <v>26.6</v>
      </c>
      <c r="L22" s="37" t="s">
        <v>48</v>
      </c>
      <c r="M22" s="20" t="n">
        <v>26.8</v>
      </c>
      <c r="N22" s="38" t="n">
        <v>36</v>
      </c>
      <c r="O22" s="31" t="n">
        <v>61.8</v>
      </c>
      <c r="P22" s="32" t="s">
        <v>34</v>
      </c>
    </row>
    <row r="23" customFormat="false" ht="18" hidden="false" customHeight="true" outlineLevel="0" collapsed="false">
      <c r="B23" s="16" t="s">
        <v>55</v>
      </c>
      <c r="C23" s="35" t="s">
        <v>46</v>
      </c>
      <c r="D23" s="18" t="s">
        <v>47</v>
      </c>
      <c r="E23" s="19" t="s">
        <v>42</v>
      </c>
      <c r="F23" s="20" t="n">
        <v>45.3</v>
      </c>
      <c r="G23" s="22" t="n">
        <v>28.6</v>
      </c>
      <c r="H23" s="20" t="n">
        <v>51.8</v>
      </c>
      <c r="I23" s="20" t="n">
        <v>51</v>
      </c>
      <c r="J23" s="22" t="n">
        <v>-16.7</v>
      </c>
      <c r="K23" s="36" t="n">
        <v>25.5</v>
      </c>
      <c r="L23" s="37" t="s">
        <v>48</v>
      </c>
      <c r="M23" s="20" t="n">
        <v>33.5</v>
      </c>
      <c r="N23" s="25" t="n">
        <v>28.1</v>
      </c>
      <c r="O23" s="26" t="n">
        <v>60.3</v>
      </c>
      <c r="P23" s="27" t="s">
        <v>56</v>
      </c>
    </row>
    <row r="24" customFormat="false" ht="18" hidden="false" customHeight="true" outlineLevel="0" collapsed="false">
      <c r="B24" s="28" t="s">
        <v>57</v>
      </c>
      <c r="C24" s="35" t="s">
        <v>46</v>
      </c>
      <c r="D24" s="29" t="s">
        <v>36</v>
      </c>
      <c r="E24" s="30" t="s">
        <v>54</v>
      </c>
      <c r="F24" s="22" t="n">
        <v>35.1</v>
      </c>
      <c r="G24" s="22" t="n">
        <v>18.1</v>
      </c>
      <c r="H24" s="20" t="n">
        <v>46</v>
      </c>
      <c r="I24" s="22" t="n">
        <v>41.8</v>
      </c>
      <c r="J24" s="22" t="n">
        <v>-10.5</v>
      </c>
      <c r="K24" s="36" t="n">
        <v>25.4</v>
      </c>
      <c r="L24" s="37" t="s">
        <v>48</v>
      </c>
      <c r="M24" s="20" t="n">
        <v>21</v>
      </c>
      <c r="N24" s="25" t="n">
        <v>29.1</v>
      </c>
      <c r="O24" s="31" t="n">
        <v>55.9</v>
      </c>
      <c r="P24" s="32" t="s">
        <v>34</v>
      </c>
    </row>
    <row r="25" customFormat="false" ht="18" hidden="false" customHeight="true" outlineLevel="0" collapsed="false">
      <c r="B25" s="16" t="s">
        <v>58</v>
      </c>
      <c r="C25" s="17" t="s">
        <v>30</v>
      </c>
      <c r="D25" s="18" t="s">
        <v>36</v>
      </c>
      <c r="E25" s="19" t="s">
        <v>44</v>
      </c>
      <c r="F25" s="20" t="n">
        <v>61.2</v>
      </c>
      <c r="G25" s="22" t="n">
        <v>22.5</v>
      </c>
      <c r="H25" s="22" t="n">
        <v>36.2</v>
      </c>
      <c r="I25" s="22" t="n">
        <v>44.9</v>
      </c>
      <c r="J25" s="22" t="n">
        <v>-15</v>
      </c>
      <c r="K25" s="36" t="n">
        <v>24.6</v>
      </c>
      <c r="L25" s="37" t="s">
        <v>48</v>
      </c>
      <c r="M25" s="20" t="n">
        <v>30</v>
      </c>
      <c r="N25" s="26" t="n">
        <v>14.5</v>
      </c>
      <c r="O25" s="26" t="n">
        <v>59</v>
      </c>
      <c r="P25" s="27" t="s">
        <v>34</v>
      </c>
    </row>
    <row r="26" customFormat="false" ht="18" hidden="false" customHeight="true" outlineLevel="0" collapsed="false">
      <c r="B26" s="28" t="s">
        <v>59</v>
      </c>
      <c r="C26" s="35" t="s">
        <v>46</v>
      </c>
      <c r="D26" s="29" t="s">
        <v>47</v>
      </c>
      <c r="E26" s="30" t="s">
        <v>42</v>
      </c>
      <c r="F26" s="22" t="n">
        <v>40.6</v>
      </c>
      <c r="G26" s="22" t="n">
        <v>28.3</v>
      </c>
      <c r="H26" s="20" t="n">
        <v>51.4</v>
      </c>
      <c r="I26" s="20" t="n">
        <v>49</v>
      </c>
      <c r="J26" s="22" t="n">
        <v>-18.4</v>
      </c>
      <c r="K26" s="36" t="n">
        <v>22.4</v>
      </c>
      <c r="L26" s="37" t="s">
        <v>48</v>
      </c>
      <c r="M26" s="20" t="n">
        <v>36.8</v>
      </c>
      <c r="N26" s="25" t="n">
        <v>22.3</v>
      </c>
      <c r="O26" s="31" t="n">
        <v>52.7</v>
      </c>
      <c r="P26" s="32" t="s">
        <v>56</v>
      </c>
    </row>
    <row r="27" customFormat="false" ht="18" hidden="false" customHeight="true" outlineLevel="0" collapsed="false">
      <c r="B27" s="16" t="s">
        <v>60</v>
      </c>
      <c r="C27" s="17" t="s">
        <v>30</v>
      </c>
      <c r="D27" s="18" t="s">
        <v>41</v>
      </c>
      <c r="E27" s="19" t="s">
        <v>32</v>
      </c>
      <c r="F27" s="22" t="n">
        <v>36.4</v>
      </c>
      <c r="G27" s="22" t="n">
        <v>17.9</v>
      </c>
      <c r="H27" s="20" t="n">
        <v>49.6</v>
      </c>
      <c r="I27" s="20" t="n">
        <v>51.3</v>
      </c>
      <c r="J27" s="22" t="n">
        <v>-18</v>
      </c>
      <c r="K27" s="36" t="n">
        <v>22.3</v>
      </c>
      <c r="L27" s="37" t="s">
        <v>48</v>
      </c>
      <c r="M27" s="20" t="n">
        <v>36</v>
      </c>
      <c r="N27" s="26" t="n">
        <v>9.1</v>
      </c>
      <c r="O27" s="26" t="n">
        <v>50.9</v>
      </c>
      <c r="P27" s="27" t="s">
        <v>56</v>
      </c>
    </row>
    <row r="28" customFormat="false" ht="18" hidden="false" customHeight="true" outlineLevel="0" collapsed="false">
      <c r="B28" s="28" t="s">
        <v>61</v>
      </c>
      <c r="C28" s="35" t="s">
        <v>46</v>
      </c>
      <c r="D28" s="29" t="s">
        <v>47</v>
      </c>
      <c r="E28" s="30" t="s">
        <v>32</v>
      </c>
      <c r="F28" s="22" t="n">
        <v>32.9</v>
      </c>
      <c r="G28" s="22" t="n">
        <v>25.2</v>
      </c>
      <c r="H28" s="20" t="n">
        <v>53.8</v>
      </c>
      <c r="I28" s="20" t="n">
        <v>48.9</v>
      </c>
      <c r="J28" s="22" t="n">
        <v>-18.7</v>
      </c>
      <c r="K28" s="36" t="n">
        <v>20.2</v>
      </c>
      <c r="L28" s="37" t="s">
        <v>48</v>
      </c>
      <c r="M28" s="20" t="n">
        <v>37.4</v>
      </c>
      <c r="N28" s="25" t="n">
        <v>22.3</v>
      </c>
      <c r="O28" s="31" t="n">
        <v>49.1</v>
      </c>
      <c r="P28" s="32" t="s">
        <v>56</v>
      </c>
    </row>
    <row r="29" customFormat="false" ht="18" hidden="false" customHeight="true" outlineLevel="0" collapsed="false">
      <c r="B29" s="16" t="s">
        <v>62</v>
      </c>
      <c r="C29" s="35" t="s">
        <v>46</v>
      </c>
      <c r="D29" s="18" t="s">
        <v>47</v>
      </c>
      <c r="E29" s="19" t="s">
        <v>32</v>
      </c>
      <c r="F29" s="22" t="n">
        <v>29.5</v>
      </c>
      <c r="G29" s="22" t="n">
        <v>22</v>
      </c>
      <c r="H29" s="20" t="n">
        <v>52.1</v>
      </c>
      <c r="I29" s="20" t="n">
        <v>48.2</v>
      </c>
      <c r="J29" s="22" t="n">
        <v>-16.6</v>
      </c>
      <c r="K29" s="36" t="n">
        <v>19.8</v>
      </c>
      <c r="L29" s="37" t="s">
        <v>48</v>
      </c>
      <c r="M29" s="20" t="n">
        <v>33.3</v>
      </c>
      <c r="N29" s="26" t="n">
        <v>14.8</v>
      </c>
      <c r="O29" s="26" t="n">
        <v>41.7</v>
      </c>
      <c r="P29" s="27" t="s">
        <v>56</v>
      </c>
    </row>
    <row r="30" customFormat="false" ht="18" hidden="false" customHeight="true" outlineLevel="0" collapsed="false">
      <c r="B30" s="28" t="s">
        <v>63</v>
      </c>
      <c r="C30" s="35" t="s">
        <v>46</v>
      </c>
      <c r="D30" s="29" t="s">
        <v>47</v>
      </c>
      <c r="E30" s="30" t="s">
        <v>54</v>
      </c>
      <c r="F30" s="22" t="n">
        <v>29.4</v>
      </c>
      <c r="G30" s="22" t="n">
        <v>21.9</v>
      </c>
      <c r="H30" s="20" t="n">
        <v>52.1</v>
      </c>
      <c r="I30" s="20" t="n">
        <v>49.1</v>
      </c>
      <c r="J30" s="22" t="n">
        <v>-17.3</v>
      </c>
      <c r="K30" s="36" t="n">
        <v>19.2</v>
      </c>
      <c r="L30" s="37" t="s">
        <v>48</v>
      </c>
      <c r="M30" s="20" t="n">
        <v>34.6</v>
      </c>
      <c r="N30" s="25" t="n">
        <v>19.8</v>
      </c>
      <c r="O30" s="31" t="n">
        <v>45.8</v>
      </c>
      <c r="P30" s="32" t="s">
        <v>56</v>
      </c>
    </row>
    <row r="31" customFormat="false" ht="18" hidden="false" customHeight="true" outlineLevel="0" collapsed="false">
      <c r="B31" s="16" t="s">
        <v>64</v>
      </c>
      <c r="C31" s="35" t="s">
        <v>46</v>
      </c>
      <c r="D31" s="18" t="s">
        <v>47</v>
      </c>
      <c r="E31" s="19" t="s">
        <v>32</v>
      </c>
      <c r="F31" s="22" t="n">
        <v>26.9</v>
      </c>
      <c r="G31" s="22" t="n">
        <v>22.5</v>
      </c>
      <c r="H31" s="20" t="n">
        <v>52.9</v>
      </c>
      <c r="I31" s="20" t="n">
        <v>48.5</v>
      </c>
      <c r="J31" s="22" t="n">
        <v>-19.8</v>
      </c>
      <c r="K31" s="36" t="n">
        <v>16.6</v>
      </c>
      <c r="L31" s="37" t="s">
        <v>48</v>
      </c>
      <c r="M31" s="20" t="n">
        <v>39.6</v>
      </c>
      <c r="N31" s="25" t="n">
        <v>16.7</v>
      </c>
      <c r="O31" s="26" t="n">
        <v>43.8</v>
      </c>
      <c r="P31" s="27" t="s">
        <v>56</v>
      </c>
    </row>
    <row r="32" customFormat="false" ht="18" hidden="false" customHeight="true" outlineLevel="0" collapsed="false">
      <c r="B32" s="28" t="s">
        <v>65</v>
      </c>
      <c r="C32" s="35" t="s">
        <v>46</v>
      </c>
      <c r="D32" s="29" t="s">
        <v>47</v>
      </c>
      <c r="E32" s="30" t="s">
        <v>32</v>
      </c>
      <c r="F32" s="22" t="n">
        <v>28.4</v>
      </c>
      <c r="G32" s="22" t="n">
        <v>22.7</v>
      </c>
      <c r="H32" s="20" t="n">
        <v>53.2</v>
      </c>
      <c r="I32" s="20" t="n">
        <v>47.7</v>
      </c>
      <c r="J32" s="22" t="n">
        <v>-30.9</v>
      </c>
      <c r="K32" s="36" t="n">
        <v>5.9</v>
      </c>
      <c r="L32" s="37" t="s">
        <v>48</v>
      </c>
      <c r="M32" s="39" t="n">
        <v>41.7</v>
      </c>
      <c r="N32" s="25" t="n">
        <v>16</v>
      </c>
      <c r="O32" s="31" t="n">
        <v>44.9</v>
      </c>
      <c r="P32" s="32" t="s">
        <v>66</v>
      </c>
    </row>
    <row r="33" customFormat="false" ht="18" hidden="false" customHeight="true" outlineLevel="0" collapsed="false">
      <c r="B33" s="16" t="s">
        <v>67</v>
      </c>
      <c r="C33" s="17" t="s">
        <v>30</v>
      </c>
      <c r="D33" s="18" t="s">
        <v>47</v>
      </c>
      <c r="E33" s="19" t="s">
        <v>32</v>
      </c>
      <c r="F33" s="22" t="n">
        <v>35.2</v>
      </c>
      <c r="G33" s="22" t="n">
        <v>40.1</v>
      </c>
      <c r="H33" s="22" t="n">
        <v>36.4</v>
      </c>
      <c r="I33" s="20" t="n">
        <v>54.5</v>
      </c>
      <c r="J33" s="22" t="n">
        <v>-35</v>
      </c>
      <c r="K33" s="36" t="n">
        <v>5.2</v>
      </c>
      <c r="L33" s="37" t="s">
        <v>48</v>
      </c>
      <c r="M33" s="39" t="n">
        <v>80</v>
      </c>
      <c r="N33" s="38" t="n">
        <v>37.8</v>
      </c>
      <c r="O33" s="26" t="n">
        <v>88.1</v>
      </c>
      <c r="P33" s="27" t="s">
        <v>66</v>
      </c>
    </row>
    <row r="34" customFormat="false" ht="18" hidden="false" customHeight="true" outlineLevel="0" collapsed="false">
      <c r="B34" s="28" t="s">
        <v>68</v>
      </c>
      <c r="C34" s="17" t="s">
        <v>30</v>
      </c>
      <c r="D34" s="29" t="s">
        <v>41</v>
      </c>
      <c r="E34" s="30" t="s">
        <v>42</v>
      </c>
      <c r="F34" s="22" t="n">
        <v>17.4</v>
      </c>
      <c r="G34" s="22" t="n">
        <v>31.8</v>
      </c>
      <c r="H34" s="22" t="n">
        <v>27.5</v>
      </c>
      <c r="I34" s="22" t="n">
        <v>44.5</v>
      </c>
      <c r="J34" s="22" t="n">
        <v>-35</v>
      </c>
      <c r="K34" s="36" t="n">
        <v>0</v>
      </c>
      <c r="L34" s="37" t="s">
        <v>48</v>
      </c>
      <c r="M34" s="39" t="n">
        <v>88</v>
      </c>
      <c r="N34" s="31" t="n">
        <v>12.1</v>
      </c>
      <c r="O34" s="31" t="n">
        <v>40.7</v>
      </c>
      <c r="P34" s="32" t="s">
        <v>66</v>
      </c>
    </row>
    <row r="35" customFormat="false" ht="19.5" hidden="false" customHeight="true" outlineLevel="0" collapsed="false">
      <c r="A35" s="1"/>
      <c r="B35" s="40" t="str">
        <f aca="false">COUNTA(B13:B34)&amp;" communities  |  Avg CHS: "&amp;TEXT(AVERAGE(K13:K34),"0.0")&amp;"  |  Critical: "&amp;COUNTIF(L13:L34,"Critical")</f>
        <v>22 communities  |  Avg CHS: 26.4  |  Critical: 17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</sheetData>
  <mergeCells count="10">
    <mergeCell ref="B2:P2"/>
    <mergeCell ref="B3:P3"/>
    <mergeCell ref="B7:D7"/>
    <mergeCell ref="E7:G7"/>
    <mergeCell ref="H7:J7"/>
    <mergeCell ref="K7:M7"/>
    <mergeCell ref="N7:P7"/>
    <mergeCell ref="B10:P10"/>
    <mergeCell ref="B11:P11"/>
    <mergeCell ref="B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10" min="5" style="0" width="11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4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1"/>
      <c r="B2" s="41" t="s">
        <v>69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customFormat="false" ht="18" hidden="false" customHeight="true" outlineLevel="0" collapsed="false">
      <c r="A3" s="3"/>
      <c r="B3" s="4" t="s">
        <v>70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9.5" hidden="false" customHeight="true" outlineLevel="0" collapsed="false">
      <c r="A5" s="13"/>
      <c r="B5" s="14" t="s">
        <v>71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customFormat="false" ht="6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36" hidden="false" customHeight="true" outlineLevel="0" collapsed="false">
      <c r="B7" s="15" t="s">
        <v>14</v>
      </c>
      <c r="C7" s="15" t="s">
        <v>15</v>
      </c>
      <c r="D7" s="15" t="s">
        <v>72</v>
      </c>
      <c r="E7" s="15" t="s">
        <v>73</v>
      </c>
      <c r="F7" s="15" t="s">
        <v>74</v>
      </c>
      <c r="G7" s="15" t="s">
        <v>75</v>
      </c>
      <c r="H7" s="15" t="s">
        <v>76</v>
      </c>
      <c r="I7" s="15" t="s">
        <v>77</v>
      </c>
      <c r="J7" s="15" t="s">
        <v>78</v>
      </c>
      <c r="K7" s="15" t="s">
        <v>79</v>
      </c>
      <c r="L7" s="15" t="s">
        <v>80</v>
      </c>
      <c r="M7" s="15" t="s">
        <v>81</v>
      </c>
    </row>
    <row r="8" customFormat="false" ht="18" hidden="false" customHeight="true" outlineLevel="0" collapsed="false">
      <c r="B8" s="16" t="s">
        <v>68</v>
      </c>
      <c r="C8" s="17" t="s">
        <v>30</v>
      </c>
      <c r="D8" s="19" t="s">
        <v>42</v>
      </c>
      <c r="E8" s="42" t="n">
        <v>0.112</v>
      </c>
      <c r="F8" s="42" t="n">
        <v>0.49</v>
      </c>
      <c r="G8" s="42" t="n">
        <v>0.727</v>
      </c>
      <c r="H8" s="42" t="n">
        <v>0.181</v>
      </c>
      <c r="I8" s="42" t="n">
        <v>0.88</v>
      </c>
      <c r="J8" s="42" t="n">
        <v>0</v>
      </c>
      <c r="K8" s="42" t="n">
        <v>1</v>
      </c>
      <c r="L8" s="43" t="s">
        <v>41</v>
      </c>
      <c r="M8" s="27" t="s">
        <v>82</v>
      </c>
    </row>
    <row r="9" customFormat="false" ht="18" hidden="false" customHeight="true" outlineLevel="0" collapsed="false">
      <c r="B9" s="28" t="s">
        <v>40</v>
      </c>
      <c r="C9" s="17" t="s">
        <v>30</v>
      </c>
      <c r="D9" s="30" t="s">
        <v>42</v>
      </c>
      <c r="E9" s="44" t="n">
        <v>0.228</v>
      </c>
      <c r="F9" s="44" t="n">
        <v>0.529</v>
      </c>
      <c r="G9" s="44" t="n">
        <v>0.471</v>
      </c>
      <c r="H9" s="44" t="n">
        <v>0.717</v>
      </c>
      <c r="I9" s="44" t="n">
        <v>0.88</v>
      </c>
      <c r="J9" s="44" t="n">
        <v>0.32</v>
      </c>
      <c r="K9" s="44" t="n">
        <v>1</v>
      </c>
      <c r="L9" s="43" t="s">
        <v>41</v>
      </c>
      <c r="M9" s="32" t="s">
        <v>83</v>
      </c>
    </row>
    <row r="10" customFormat="false" ht="18" hidden="false" customHeight="true" outlineLevel="0" collapsed="false">
      <c r="B10" s="16" t="s">
        <v>60</v>
      </c>
      <c r="C10" s="17" t="s">
        <v>30</v>
      </c>
      <c r="D10" s="19" t="s">
        <v>32</v>
      </c>
      <c r="E10" s="42" t="n">
        <v>0.152</v>
      </c>
      <c r="F10" s="42" t="n">
        <v>0.511</v>
      </c>
      <c r="G10" s="42" t="n">
        <v>0.545</v>
      </c>
      <c r="H10" s="42" t="n">
        <v>0.817</v>
      </c>
      <c r="I10" s="42" t="n">
        <v>0.56</v>
      </c>
      <c r="J10" s="42" t="n">
        <v>0.12</v>
      </c>
      <c r="K10" s="42" t="n">
        <v>1</v>
      </c>
      <c r="L10" s="43" t="s">
        <v>41</v>
      </c>
      <c r="M10" s="27" t="s">
        <v>84</v>
      </c>
    </row>
    <row r="11" customFormat="false" ht="18" hidden="false" customHeight="true" outlineLevel="0" collapsed="false">
      <c r="B11" s="28" t="s">
        <v>29</v>
      </c>
      <c r="C11" s="17" t="s">
        <v>30</v>
      </c>
      <c r="D11" s="30" t="s">
        <v>32</v>
      </c>
      <c r="E11" s="44" t="n">
        <v>0.2</v>
      </c>
      <c r="F11" s="44" t="n">
        <v>0.414</v>
      </c>
      <c r="G11" s="44" t="n">
        <v>0.539</v>
      </c>
      <c r="H11" s="44" t="n">
        <v>0.662</v>
      </c>
      <c r="I11" s="44" t="n">
        <v>0</v>
      </c>
      <c r="J11" s="44" t="n">
        <v>0.28</v>
      </c>
      <c r="K11" s="44" t="n">
        <v>0.88</v>
      </c>
      <c r="L11" s="45" t="s">
        <v>31</v>
      </c>
      <c r="M11" s="32" t="s">
        <v>85</v>
      </c>
    </row>
    <row r="12" customFormat="false" ht="18" hidden="false" customHeight="true" outlineLevel="0" collapsed="false">
      <c r="B12" s="16" t="s">
        <v>38</v>
      </c>
      <c r="C12" s="17" t="s">
        <v>30</v>
      </c>
      <c r="D12" s="19" t="s">
        <v>32</v>
      </c>
      <c r="E12" s="42" t="n">
        <v>0.196</v>
      </c>
      <c r="F12" s="42" t="n">
        <v>0.37</v>
      </c>
      <c r="G12" s="42" t="n">
        <v>0.469</v>
      </c>
      <c r="H12" s="42" t="n">
        <v>0.508</v>
      </c>
      <c r="I12" s="42" t="n">
        <v>0</v>
      </c>
      <c r="J12" s="42" t="n">
        <v>0.2</v>
      </c>
      <c r="K12" s="42" t="n">
        <v>0.88</v>
      </c>
      <c r="L12" s="45" t="s">
        <v>31</v>
      </c>
      <c r="M12" s="27" t="s">
        <v>85</v>
      </c>
    </row>
    <row r="13" customFormat="false" ht="18" hidden="false" customHeight="true" outlineLevel="0" collapsed="false">
      <c r="B13" s="28" t="s">
        <v>35</v>
      </c>
      <c r="C13" s="17" t="s">
        <v>30</v>
      </c>
      <c r="D13" s="30" t="s">
        <v>32</v>
      </c>
      <c r="E13" s="44" t="n">
        <v>0.272</v>
      </c>
      <c r="F13" s="44" t="n">
        <v>0.43</v>
      </c>
      <c r="G13" s="44" t="n">
        <v>0.508</v>
      </c>
      <c r="H13" s="44" t="n">
        <v>0.732</v>
      </c>
      <c r="I13" s="44" t="n">
        <v>0</v>
      </c>
      <c r="J13" s="44" t="n">
        <v>0.48</v>
      </c>
      <c r="K13" s="44" t="n">
        <v>0.96</v>
      </c>
      <c r="L13" s="46" t="s">
        <v>36</v>
      </c>
      <c r="M13" s="32" t="s">
        <v>86</v>
      </c>
    </row>
    <row r="14" customFormat="false" ht="18" hidden="false" customHeight="true" outlineLevel="0" collapsed="false">
      <c r="B14" s="16" t="s">
        <v>67</v>
      </c>
      <c r="C14" s="17" t="s">
        <v>30</v>
      </c>
      <c r="D14" s="19" t="s">
        <v>32</v>
      </c>
      <c r="E14" s="42" t="n">
        <v>0.908</v>
      </c>
      <c r="F14" s="42" t="n">
        <v>0.642</v>
      </c>
      <c r="G14" s="42" t="n">
        <v>0.595</v>
      </c>
      <c r="H14" s="42" t="n">
        <v>0.677</v>
      </c>
      <c r="I14" s="42" t="n">
        <v>0</v>
      </c>
      <c r="J14" s="42" t="n">
        <v>0.04</v>
      </c>
      <c r="K14" s="42" t="n">
        <v>0.32</v>
      </c>
      <c r="L14" s="47" t="s">
        <v>47</v>
      </c>
      <c r="M14" s="27" t="s">
        <v>87</v>
      </c>
    </row>
    <row r="15" customFormat="false" ht="18" hidden="false" customHeight="true" outlineLevel="0" collapsed="false">
      <c r="B15" s="28" t="s">
        <v>43</v>
      </c>
      <c r="C15" s="17" t="s">
        <v>30</v>
      </c>
      <c r="D15" s="30" t="s">
        <v>44</v>
      </c>
      <c r="E15" s="44" t="n">
        <v>0.276</v>
      </c>
      <c r="F15" s="44" t="n">
        <v>0.39</v>
      </c>
      <c r="G15" s="44" t="n">
        <v>0.4</v>
      </c>
      <c r="H15" s="44" t="n">
        <v>0.675</v>
      </c>
      <c r="I15" s="44" t="n">
        <v>0</v>
      </c>
      <c r="J15" s="44" t="n">
        <v>0.16</v>
      </c>
      <c r="K15" s="44" t="n">
        <v>0.88</v>
      </c>
      <c r="L15" s="46" t="s">
        <v>36</v>
      </c>
      <c r="M15" s="32" t="s">
        <v>88</v>
      </c>
    </row>
    <row r="16" customFormat="false" ht="18" hidden="false" customHeight="true" outlineLevel="0" collapsed="false">
      <c r="B16" s="16" t="s">
        <v>58</v>
      </c>
      <c r="C16" s="17" t="s">
        <v>30</v>
      </c>
      <c r="D16" s="19" t="s">
        <v>44</v>
      </c>
      <c r="E16" s="42" t="n">
        <v>0.28</v>
      </c>
      <c r="F16" s="42" t="n">
        <v>0.34</v>
      </c>
      <c r="G16" s="42" t="n">
        <v>0.391</v>
      </c>
      <c r="H16" s="42" t="n">
        <v>0.573</v>
      </c>
      <c r="I16" s="42" t="n">
        <v>0</v>
      </c>
      <c r="J16" s="42" t="n">
        <v>0.1</v>
      </c>
      <c r="K16" s="42" t="n">
        <v>0.9</v>
      </c>
      <c r="L16" s="46" t="s">
        <v>36</v>
      </c>
      <c r="M16" s="27" t="s">
        <v>89</v>
      </c>
    </row>
    <row r="17" customFormat="false" ht="18" hidden="false" customHeight="true" outlineLevel="0" collapsed="false">
      <c r="B17" s="28" t="s">
        <v>59</v>
      </c>
      <c r="C17" s="35" t="s">
        <v>46</v>
      </c>
      <c r="D17" s="30" t="s">
        <v>42</v>
      </c>
      <c r="E17" s="44" t="n">
        <v>0.021</v>
      </c>
      <c r="F17" s="44" t="n">
        <v>0.653</v>
      </c>
      <c r="G17" s="44" t="n">
        <v>0.75</v>
      </c>
      <c r="H17" s="44" t="n">
        <v>0.834</v>
      </c>
      <c r="I17" s="44" t="n">
        <v>0</v>
      </c>
      <c r="J17" s="44" t="n">
        <v>0.204</v>
      </c>
      <c r="K17" s="44" t="n">
        <v>0.908</v>
      </c>
      <c r="L17" s="47" t="s">
        <v>47</v>
      </c>
      <c r="M17" s="32" t="s">
        <v>90</v>
      </c>
    </row>
    <row r="18" customFormat="false" ht="18" hidden="false" customHeight="true" outlineLevel="0" collapsed="false">
      <c r="B18" s="16" t="s">
        <v>51</v>
      </c>
      <c r="C18" s="35" t="s">
        <v>46</v>
      </c>
      <c r="D18" s="19" t="s">
        <v>42</v>
      </c>
      <c r="E18" s="42" t="n">
        <v>0.053</v>
      </c>
      <c r="F18" s="42" t="n">
        <v>0.704</v>
      </c>
      <c r="G18" s="42" t="n">
        <v>0.748</v>
      </c>
      <c r="H18" s="42" t="n">
        <v>0.819</v>
      </c>
      <c r="I18" s="42" t="n">
        <v>0</v>
      </c>
      <c r="J18" s="42" t="n">
        <v>0.284</v>
      </c>
      <c r="K18" s="42" t="n">
        <v>0.958</v>
      </c>
      <c r="L18" s="47" t="s">
        <v>47</v>
      </c>
      <c r="M18" s="27" t="s">
        <v>91</v>
      </c>
    </row>
    <row r="19" customFormat="false" ht="18" hidden="false" customHeight="true" outlineLevel="0" collapsed="false">
      <c r="B19" s="28" t="s">
        <v>55</v>
      </c>
      <c r="C19" s="35" t="s">
        <v>46</v>
      </c>
      <c r="D19" s="30" t="s">
        <v>42</v>
      </c>
      <c r="E19" s="44" t="n">
        <v>0.049</v>
      </c>
      <c r="F19" s="44" t="n">
        <v>0.681</v>
      </c>
      <c r="G19" s="44" t="n">
        <v>0.716</v>
      </c>
      <c r="H19" s="44" t="n">
        <v>0.805</v>
      </c>
      <c r="I19" s="44" t="n">
        <v>0</v>
      </c>
      <c r="J19" s="44" t="n">
        <v>0.214</v>
      </c>
      <c r="K19" s="44" t="n">
        <v>0.838</v>
      </c>
      <c r="L19" s="47" t="s">
        <v>47</v>
      </c>
      <c r="M19" s="32" t="s">
        <v>92</v>
      </c>
    </row>
    <row r="20" customFormat="false" ht="18" hidden="false" customHeight="true" outlineLevel="0" collapsed="false">
      <c r="B20" s="16" t="s">
        <v>50</v>
      </c>
      <c r="C20" s="35" t="s">
        <v>46</v>
      </c>
      <c r="D20" s="19" t="s">
        <v>42</v>
      </c>
      <c r="E20" s="42" t="n">
        <v>0.053</v>
      </c>
      <c r="F20" s="42" t="n">
        <v>0.715</v>
      </c>
      <c r="G20" s="42" t="n">
        <v>0.747</v>
      </c>
      <c r="H20" s="42" t="n">
        <v>0.818</v>
      </c>
      <c r="I20" s="42" t="n">
        <v>0</v>
      </c>
      <c r="J20" s="42" t="n">
        <v>0.281</v>
      </c>
      <c r="K20" s="42" t="n">
        <v>0.834</v>
      </c>
      <c r="L20" s="47" t="s">
        <v>47</v>
      </c>
      <c r="M20" s="27" t="s">
        <v>93</v>
      </c>
    </row>
    <row r="21" customFormat="false" ht="18" hidden="false" customHeight="true" outlineLevel="0" collapsed="false">
      <c r="B21" s="28" t="s">
        <v>52</v>
      </c>
      <c r="C21" s="35" t="s">
        <v>46</v>
      </c>
      <c r="D21" s="30" t="s">
        <v>42</v>
      </c>
      <c r="E21" s="44" t="n">
        <v>0.116</v>
      </c>
      <c r="F21" s="44" t="n">
        <v>0.718</v>
      </c>
      <c r="G21" s="44" t="n">
        <v>0.774</v>
      </c>
      <c r="H21" s="44" t="n">
        <v>0.846</v>
      </c>
      <c r="I21" s="44" t="n">
        <v>0</v>
      </c>
      <c r="J21" s="44" t="n">
        <v>0.237</v>
      </c>
      <c r="K21" s="44" t="n">
        <v>0.918</v>
      </c>
      <c r="L21" s="47" t="s">
        <v>47</v>
      </c>
      <c r="M21" s="32" t="s">
        <v>94</v>
      </c>
    </row>
    <row r="22" customFormat="false" ht="18" hidden="false" customHeight="true" outlineLevel="0" collapsed="false">
      <c r="B22" s="16" t="s">
        <v>45</v>
      </c>
      <c r="C22" s="35" t="s">
        <v>46</v>
      </c>
      <c r="D22" s="19" t="s">
        <v>32</v>
      </c>
      <c r="E22" s="42" t="n">
        <v>0.755</v>
      </c>
      <c r="F22" s="42" t="n">
        <v>0.676</v>
      </c>
      <c r="G22" s="42" t="n">
        <v>0.786</v>
      </c>
      <c r="H22" s="42" t="n">
        <v>0.912</v>
      </c>
      <c r="I22" s="42" t="n">
        <v>0</v>
      </c>
      <c r="J22" s="42" t="n">
        <v>0.309</v>
      </c>
      <c r="K22" s="42" t="n">
        <v>0.92</v>
      </c>
      <c r="L22" s="47" t="s">
        <v>47</v>
      </c>
      <c r="M22" s="27" t="s">
        <v>95</v>
      </c>
    </row>
    <row r="23" customFormat="false" ht="18" hidden="false" customHeight="true" outlineLevel="0" collapsed="false">
      <c r="B23" s="28" t="s">
        <v>62</v>
      </c>
      <c r="C23" s="35" t="s">
        <v>46</v>
      </c>
      <c r="D23" s="30" t="s">
        <v>32</v>
      </c>
      <c r="E23" s="44" t="n">
        <v>0.305</v>
      </c>
      <c r="F23" s="44" t="n">
        <v>0.731</v>
      </c>
      <c r="G23" s="44" t="n">
        <v>0.787</v>
      </c>
      <c r="H23" s="44" t="n">
        <v>0.848</v>
      </c>
      <c r="I23" s="44" t="n">
        <v>0</v>
      </c>
      <c r="J23" s="44" t="n">
        <v>0.222</v>
      </c>
      <c r="K23" s="44" t="n">
        <v>0.948</v>
      </c>
      <c r="L23" s="47" t="s">
        <v>47</v>
      </c>
      <c r="M23" s="32" t="s">
        <v>96</v>
      </c>
    </row>
    <row r="24" customFormat="false" ht="18" hidden="false" customHeight="true" outlineLevel="0" collapsed="false">
      <c r="B24" s="16" t="s">
        <v>65</v>
      </c>
      <c r="C24" s="35" t="s">
        <v>46</v>
      </c>
      <c r="D24" s="19" t="s">
        <v>32</v>
      </c>
      <c r="E24" s="42" t="n">
        <v>0.168</v>
      </c>
      <c r="F24" s="42" t="n">
        <v>0.805</v>
      </c>
      <c r="G24" s="42" t="n">
        <v>0.866</v>
      </c>
      <c r="H24" s="42" t="n">
        <v>0.895</v>
      </c>
      <c r="I24" s="42" t="n">
        <v>0</v>
      </c>
      <c r="J24" s="42" t="n">
        <v>0.25</v>
      </c>
      <c r="K24" s="42" t="n">
        <v>0.936</v>
      </c>
      <c r="L24" s="47" t="s">
        <v>47</v>
      </c>
      <c r="M24" s="27" t="s">
        <v>97</v>
      </c>
    </row>
    <row r="25" customFormat="false" ht="18" hidden="false" customHeight="true" outlineLevel="0" collapsed="false">
      <c r="B25" s="28" t="s">
        <v>61</v>
      </c>
      <c r="C25" s="35" t="s">
        <v>46</v>
      </c>
      <c r="D25" s="30" t="s">
        <v>32</v>
      </c>
      <c r="E25" s="44" t="n">
        <v>0.1</v>
      </c>
      <c r="F25" s="44" t="n">
        <v>0.806</v>
      </c>
      <c r="G25" s="44" t="n">
        <v>0.883</v>
      </c>
      <c r="H25" s="44" t="n">
        <v>0.907</v>
      </c>
      <c r="I25" s="44" t="n">
        <v>0</v>
      </c>
      <c r="J25" s="44" t="n">
        <v>0.265</v>
      </c>
      <c r="K25" s="44" t="n">
        <v>0.889</v>
      </c>
      <c r="L25" s="47" t="s">
        <v>47</v>
      </c>
      <c r="M25" s="32" t="s">
        <v>98</v>
      </c>
    </row>
    <row r="26" customFormat="false" ht="18" hidden="false" customHeight="true" outlineLevel="0" collapsed="false">
      <c r="B26" s="16" t="s">
        <v>64</v>
      </c>
      <c r="C26" s="35" t="s">
        <v>46</v>
      </c>
      <c r="D26" s="19" t="s">
        <v>32</v>
      </c>
      <c r="E26" s="42" t="n">
        <v>0.287</v>
      </c>
      <c r="F26" s="42" t="n">
        <v>0.805</v>
      </c>
      <c r="G26" s="42" t="n">
        <v>0.887</v>
      </c>
      <c r="H26" s="42" t="n">
        <v>0.903</v>
      </c>
      <c r="I26" s="42" t="n">
        <v>0</v>
      </c>
      <c r="J26" s="42" t="n">
        <v>0.242</v>
      </c>
      <c r="K26" s="42" t="n">
        <v>0.92</v>
      </c>
      <c r="L26" s="47" t="s">
        <v>47</v>
      </c>
      <c r="M26" s="27" t="s">
        <v>99</v>
      </c>
    </row>
    <row r="27" customFormat="false" ht="18" hidden="false" customHeight="true" outlineLevel="0" collapsed="false">
      <c r="B27" s="28" t="s">
        <v>57</v>
      </c>
      <c r="C27" s="35" t="s">
        <v>46</v>
      </c>
      <c r="D27" s="30" t="s">
        <v>54</v>
      </c>
      <c r="E27" s="44" t="n">
        <v>1</v>
      </c>
      <c r="F27" s="44" t="n">
        <v>0.417</v>
      </c>
      <c r="G27" s="44" t="n">
        <v>0.354</v>
      </c>
      <c r="H27" s="44" t="n">
        <v>0.65</v>
      </c>
      <c r="I27" s="44" t="n">
        <v>0</v>
      </c>
      <c r="J27" s="44" t="n">
        <v>0.25</v>
      </c>
      <c r="K27" s="44" t="n">
        <v>0.83</v>
      </c>
      <c r="L27" s="46" t="s">
        <v>36</v>
      </c>
      <c r="M27" s="32" t="s">
        <v>100</v>
      </c>
    </row>
    <row r="28" customFormat="false" ht="18" hidden="false" customHeight="true" outlineLevel="0" collapsed="false">
      <c r="B28" s="16" t="s">
        <v>53</v>
      </c>
      <c r="C28" s="35" t="s">
        <v>46</v>
      </c>
      <c r="D28" s="19" t="s">
        <v>54</v>
      </c>
      <c r="E28" s="42" t="n">
        <v>0.307</v>
      </c>
      <c r="F28" s="42" t="n">
        <v>0.847</v>
      </c>
      <c r="G28" s="42" t="n">
        <v>0.839</v>
      </c>
      <c r="H28" s="42" t="n">
        <v>0.921</v>
      </c>
      <c r="I28" s="42" t="n">
        <v>0</v>
      </c>
      <c r="J28" s="42" t="n">
        <v>0.349</v>
      </c>
      <c r="K28" s="42" t="n">
        <v>0.825</v>
      </c>
      <c r="L28" s="47" t="s">
        <v>47</v>
      </c>
      <c r="M28" s="27" t="s">
        <v>101</v>
      </c>
    </row>
    <row r="29" customFormat="false" ht="18" hidden="false" customHeight="true" outlineLevel="0" collapsed="false">
      <c r="B29" s="28" t="s">
        <v>63</v>
      </c>
      <c r="C29" s="35" t="s">
        <v>46</v>
      </c>
      <c r="D29" s="30" t="s">
        <v>54</v>
      </c>
      <c r="E29" s="44" t="n">
        <v>0.513</v>
      </c>
      <c r="F29" s="44" t="n">
        <v>0.789</v>
      </c>
      <c r="G29" s="44" t="n">
        <v>0.869</v>
      </c>
      <c r="H29" s="44" t="n">
        <v>0.921</v>
      </c>
      <c r="I29" s="44" t="n">
        <v>0</v>
      </c>
      <c r="J29" s="44" t="n">
        <v>0.223</v>
      </c>
      <c r="K29" s="44" t="n">
        <v>0.867</v>
      </c>
      <c r="L29" s="47" t="s">
        <v>47</v>
      </c>
      <c r="M29" s="32" t="s">
        <v>102</v>
      </c>
    </row>
  </sheetData>
  <mergeCells count="3">
    <mergeCell ref="B2:M2"/>
    <mergeCell ref="B3:M3"/>
    <mergeCell ref="B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7" min="4" style="0" width="9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5" min="10" style="0" width="9"/>
    <col collapsed="false" customWidth="true" hidden="false" outlineLevel="0" max="17" min="16" style="0" width="8"/>
    <col collapsed="false" customWidth="true" hidden="false" outlineLevel="0" max="19" min="18" style="0" width="9"/>
    <col collapsed="false" customWidth="true" hidden="false" outlineLevel="0" max="24" min="20" style="0" width="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3.75" hidden="false" customHeight="true" outlineLevel="0" collapsed="false">
      <c r="A2" s="1"/>
      <c r="B2" s="48" t="s">
        <v>103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customFormat="false" ht="18" hidden="false" customHeight="true" outlineLevel="0" collapsed="false">
      <c r="A3" s="3"/>
      <c r="B3" s="4" t="s">
        <v>104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9.5" hidden="false" customHeight="true" outlineLevel="0" collapsed="false">
      <c r="A5" s="5"/>
      <c r="B5" s="5"/>
      <c r="C5" s="49" t="s">
        <v>105</v>
      </c>
      <c r="D5" s="49"/>
      <c r="E5" s="49"/>
      <c r="F5" s="49"/>
      <c r="G5" s="49"/>
      <c r="H5" s="49"/>
      <c r="I5" s="50" t="s">
        <v>106</v>
      </c>
      <c r="J5" s="50"/>
      <c r="K5" s="50"/>
      <c r="L5" s="50"/>
      <c r="M5" s="51" t="s">
        <v>107</v>
      </c>
      <c r="N5" s="51"/>
      <c r="O5" s="51"/>
      <c r="P5" s="51"/>
      <c r="Q5" s="52" t="s">
        <v>108</v>
      </c>
      <c r="R5" s="52"/>
      <c r="S5" s="52"/>
      <c r="T5" s="52"/>
      <c r="U5" s="53" t="s">
        <v>109</v>
      </c>
      <c r="V5" s="53"/>
      <c r="W5" s="53"/>
      <c r="X5" s="53"/>
    </row>
    <row r="6" customFormat="false" ht="6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39.75" hidden="false" customHeight="true" outlineLevel="0" collapsed="false">
      <c r="A7" s="1"/>
      <c r="B7" s="54" t="s">
        <v>14</v>
      </c>
      <c r="C7" s="54" t="s">
        <v>110</v>
      </c>
      <c r="D7" s="54" t="s">
        <v>111</v>
      </c>
      <c r="E7" s="54" t="s">
        <v>27</v>
      </c>
      <c r="F7" s="54" t="s">
        <v>112</v>
      </c>
      <c r="G7" s="55" t="s">
        <v>113</v>
      </c>
      <c r="H7" s="55" t="s">
        <v>114</v>
      </c>
      <c r="I7" s="55" t="s">
        <v>115</v>
      </c>
      <c r="J7" s="55" t="s">
        <v>116</v>
      </c>
      <c r="K7" s="56" t="s">
        <v>117</v>
      </c>
      <c r="L7" s="56" t="s">
        <v>118</v>
      </c>
      <c r="M7" s="56" t="s">
        <v>119</v>
      </c>
      <c r="N7" s="56" t="s">
        <v>120</v>
      </c>
      <c r="O7" s="56" t="s">
        <v>121</v>
      </c>
      <c r="P7" s="57" t="s">
        <v>122</v>
      </c>
      <c r="Q7" s="57" t="s">
        <v>79</v>
      </c>
      <c r="R7" s="57" t="s">
        <v>123</v>
      </c>
      <c r="S7" s="57" t="s">
        <v>124</v>
      </c>
      <c r="T7" s="58" t="s">
        <v>125</v>
      </c>
      <c r="U7" s="58" t="s">
        <v>126</v>
      </c>
      <c r="V7" s="58" t="s">
        <v>26</v>
      </c>
      <c r="W7" s="58" t="s">
        <v>127</v>
      </c>
      <c r="X7" s="59" t="s">
        <v>128</v>
      </c>
    </row>
    <row r="8" customFormat="false" ht="18" hidden="false" customHeight="true" outlineLevel="0" collapsed="false">
      <c r="B8" s="16" t="s">
        <v>29</v>
      </c>
      <c r="C8" s="60" t="s">
        <v>129</v>
      </c>
      <c r="D8" s="26" t="n">
        <v>2.11</v>
      </c>
      <c r="E8" s="26" t="n">
        <v>70.4</v>
      </c>
      <c r="F8" s="21" t="n">
        <v>68</v>
      </c>
      <c r="G8" s="22" t="n">
        <v>31</v>
      </c>
      <c r="H8" s="22" t="n">
        <v>0.369</v>
      </c>
      <c r="I8" s="26" t="n">
        <v>2.1</v>
      </c>
      <c r="J8" s="26" t="n">
        <v>95.7</v>
      </c>
      <c r="K8" s="21" t="n">
        <v>68</v>
      </c>
      <c r="L8" s="22" t="n">
        <v>36</v>
      </c>
      <c r="M8" s="20" t="n">
        <v>58</v>
      </c>
      <c r="N8" s="22" t="n">
        <v>28</v>
      </c>
      <c r="O8" s="20" t="n">
        <v>48.7</v>
      </c>
      <c r="P8" s="22" t="n">
        <v>44.1</v>
      </c>
      <c r="Q8" s="21" t="n">
        <v>88</v>
      </c>
      <c r="R8" s="26" t="n">
        <v>100</v>
      </c>
      <c r="S8" s="22" t="n">
        <v>22.2</v>
      </c>
      <c r="T8" s="20" t="n">
        <v>63.6</v>
      </c>
      <c r="U8" s="22" t="n">
        <v>12</v>
      </c>
      <c r="V8" s="21" t="n">
        <v>18.4</v>
      </c>
      <c r="W8" s="21" t="n">
        <v>6</v>
      </c>
      <c r="X8" s="42" t="n">
        <v>0</v>
      </c>
    </row>
    <row r="9" customFormat="false" ht="18" hidden="false" customHeight="true" outlineLevel="0" collapsed="false">
      <c r="B9" s="28" t="s">
        <v>35</v>
      </c>
      <c r="C9" s="61" t="s">
        <v>130</v>
      </c>
      <c r="D9" s="31" t="n">
        <v>2.77</v>
      </c>
      <c r="E9" s="31" t="n">
        <v>92.4</v>
      </c>
      <c r="F9" s="21" t="n">
        <v>100</v>
      </c>
      <c r="G9" s="22" t="n">
        <v>39</v>
      </c>
      <c r="H9" s="22" t="n">
        <v>0.393</v>
      </c>
      <c r="I9" s="31" t="n">
        <v>5.1</v>
      </c>
      <c r="J9" s="31" t="n">
        <v>36.3</v>
      </c>
      <c r="K9" s="21" t="n">
        <v>76</v>
      </c>
      <c r="L9" s="22" t="n">
        <v>40</v>
      </c>
      <c r="M9" s="20" t="n">
        <v>58</v>
      </c>
      <c r="N9" s="20" t="n">
        <v>48</v>
      </c>
      <c r="O9" s="20" t="n">
        <v>59.3</v>
      </c>
      <c r="P9" s="20" t="n">
        <v>54.3</v>
      </c>
      <c r="Q9" s="21" t="n">
        <v>96</v>
      </c>
      <c r="R9" s="31" t="n">
        <v>100</v>
      </c>
      <c r="S9" s="22" t="n">
        <v>25</v>
      </c>
      <c r="T9" s="20" t="n">
        <v>45.8</v>
      </c>
      <c r="U9" s="22" t="n">
        <v>8</v>
      </c>
      <c r="V9" s="21" t="n">
        <v>18</v>
      </c>
      <c r="W9" s="21" t="n">
        <v>4</v>
      </c>
      <c r="X9" s="44" t="n">
        <v>0</v>
      </c>
    </row>
    <row r="10" customFormat="false" ht="18" hidden="false" customHeight="true" outlineLevel="0" collapsed="false">
      <c r="B10" s="16" t="s">
        <v>38</v>
      </c>
      <c r="C10" s="60" t="s">
        <v>129</v>
      </c>
      <c r="D10" s="42" t="n">
        <v>1.83</v>
      </c>
      <c r="E10" s="26" t="n">
        <v>61</v>
      </c>
      <c r="F10" s="20" t="n">
        <v>52</v>
      </c>
      <c r="G10" s="22" t="n">
        <v>24</v>
      </c>
      <c r="H10" s="22" t="n">
        <v>0.353</v>
      </c>
      <c r="I10" s="26" t="n">
        <v>19</v>
      </c>
      <c r="J10" s="26" t="n">
        <v>60.4</v>
      </c>
      <c r="K10" s="20" t="n">
        <v>56</v>
      </c>
      <c r="L10" s="22" t="n">
        <v>12</v>
      </c>
      <c r="M10" s="20" t="n">
        <v>58</v>
      </c>
      <c r="N10" s="22" t="n">
        <v>20</v>
      </c>
      <c r="O10" s="22" t="n">
        <v>34.9</v>
      </c>
      <c r="P10" s="22" t="n">
        <v>38.2</v>
      </c>
      <c r="Q10" s="21" t="n">
        <v>88</v>
      </c>
      <c r="R10" s="26" t="n">
        <v>100</v>
      </c>
      <c r="S10" s="22" t="n">
        <v>14.3</v>
      </c>
      <c r="T10" s="20" t="n">
        <v>61.6</v>
      </c>
      <c r="U10" s="22" t="n">
        <v>12</v>
      </c>
      <c r="V10" s="21" t="n">
        <v>12.5</v>
      </c>
      <c r="W10" s="21" t="n">
        <v>6</v>
      </c>
      <c r="X10" s="42" t="n">
        <v>0</v>
      </c>
    </row>
    <row r="11" customFormat="false" ht="18" hidden="false" customHeight="true" outlineLevel="0" collapsed="false">
      <c r="B11" s="28" t="s">
        <v>40</v>
      </c>
      <c r="C11" s="61" t="s">
        <v>131</v>
      </c>
      <c r="D11" s="31" t="n">
        <v>2.02</v>
      </c>
      <c r="E11" s="31" t="n">
        <v>67.5</v>
      </c>
      <c r="F11" s="21" t="n">
        <v>80</v>
      </c>
      <c r="G11" s="22" t="n">
        <v>29</v>
      </c>
      <c r="H11" s="22" t="n">
        <v>0.307</v>
      </c>
      <c r="I11" s="31" t="n">
        <v>17.7</v>
      </c>
      <c r="J11" s="44" t="n">
        <v>0</v>
      </c>
      <c r="K11" s="22" t="n">
        <v>44</v>
      </c>
      <c r="L11" s="22" t="n">
        <v>40</v>
      </c>
      <c r="M11" s="20" t="n">
        <v>62</v>
      </c>
      <c r="N11" s="22" t="n">
        <v>32</v>
      </c>
      <c r="O11" s="21" t="n">
        <v>100</v>
      </c>
      <c r="P11" s="20" t="n">
        <v>57.6</v>
      </c>
      <c r="Q11" s="21" t="n">
        <v>100</v>
      </c>
      <c r="R11" s="31" t="n">
        <v>100</v>
      </c>
      <c r="S11" s="22" t="n">
        <v>21.4</v>
      </c>
      <c r="T11" s="20" t="n">
        <v>52</v>
      </c>
      <c r="U11" s="22" t="n">
        <v>16</v>
      </c>
      <c r="V11" s="21" t="n">
        <v>17.6</v>
      </c>
      <c r="W11" s="21" t="n">
        <v>8</v>
      </c>
      <c r="X11" s="44" t="n">
        <v>0</v>
      </c>
    </row>
    <row r="12" customFormat="false" ht="18" hidden="false" customHeight="true" outlineLevel="0" collapsed="false">
      <c r="B12" s="16" t="s">
        <v>43</v>
      </c>
      <c r="C12" s="60" t="s">
        <v>130</v>
      </c>
      <c r="D12" s="26" t="n">
        <v>2.02</v>
      </c>
      <c r="E12" s="26" t="n">
        <v>67.5</v>
      </c>
      <c r="F12" s="21" t="n">
        <v>80</v>
      </c>
      <c r="G12" s="22" t="n">
        <v>31</v>
      </c>
      <c r="H12" s="22" t="n">
        <v>0.363</v>
      </c>
      <c r="I12" s="26" t="n">
        <v>8.5</v>
      </c>
      <c r="J12" s="42" t="n">
        <v>0</v>
      </c>
      <c r="K12" s="20" t="n">
        <v>56</v>
      </c>
      <c r="L12" s="22" t="n">
        <v>44</v>
      </c>
      <c r="M12" s="20" t="n">
        <v>58</v>
      </c>
      <c r="N12" s="22" t="n">
        <v>16</v>
      </c>
      <c r="O12" s="20" t="n">
        <v>61.5</v>
      </c>
      <c r="P12" s="22" t="n">
        <v>41.9</v>
      </c>
      <c r="Q12" s="21" t="n">
        <v>88</v>
      </c>
      <c r="R12" s="26" t="n">
        <v>100</v>
      </c>
      <c r="S12" s="22" t="n">
        <v>21.4</v>
      </c>
      <c r="T12" s="22" t="n">
        <v>44.1</v>
      </c>
      <c r="U12" s="22" t="n">
        <v>16</v>
      </c>
      <c r="V12" s="21" t="n">
        <v>20</v>
      </c>
      <c r="W12" s="21" t="n">
        <v>8</v>
      </c>
      <c r="X12" s="42" t="n">
        <v>0</v>
      </c>
    </row>
    <row r="13" customFormat="false" ht="18" hidden="false" customHeight="true" outlineLevel="0" collapsed="false">
      <c r="B13" s="28" t="s">
        <v>45</v>
      </c>
      <c r="C13" s="61" t="s">
        <v>132</v>
      </c>
      <c r="D13" s="44" t="n">
        <v>1.24</v>
      </c>
      <c r="E13" s="31" t="n">
        <v>41.4</v>
      </c>
      <c r="F13" s="22" t="n">
        <v>37.1</v>
      </c>
      <c r="G13" s="22" t="n">
        <v>26.3</v>
      </c>
      <c r="H13" s="22" t="n">
        <v>0.182</v>
      </c>
      <c r="I13" s="31" t="n">
        <v>48</v>
      </c>
      <c r="J13" s="44" t="n">
        <v>0</v>
      </c>
      <c r="K13" s="20" t="n">
        <v>64.3</v>
      </c>
      <c r="L13" s="22" t="n">
        <v>21</v>
      </c>
      <c r="M13" s="20" t="n">
        <v>58</v>
      </c>
      <c r="N13" s="22" t="n">
        <v>30.9</v>
      </c>
      <c r="O13" s="21" t="n">
        <v>100</v>
      </c>
      <c r="P13" s="20" t="n">
        <v>55.5</v>
      </c>
      <c r="Q13" s="21" t="n">
        <v>92</v>
      </c>
      <c r="R13" s="31" t="n">
        <v>100</v>
      </c>
      <c r="S13" s="22" t="n">
        <v>8.8</v>
      </c>
      <c r="T13" s="20" t="n">
        <v>47.6</v>
      </c>
      <c r="U13" s="22" t="n">
        <v>17.6</v>
      </c>
      <c r="V13" s="21" t="n">
        <v>17.7</v>
      </c>
      <c r="W13" s="21" t="n">
        <v>8.8</v>
      </c>
      <c r="X13" s="44" t="n">
        <v>0</v>
      </c>
    </row>
    <row r="14" customFormat="false" ht="18" hidden="false" customHeight="true" outlineLevel="0" collapsed="false">
      <c r="B14" s="16" t="s">
        <v>50</v>
      </c>
      <c r="C14" s="60" t="s">
        <v>132</v>
      </c>
      <c r="D14" s="42" t="n">
        <v>1.89</v>
      </c>
      <c r="E14" s="26" t="n">
        <v>63</v>
      </c>
      <c r="F14" s="20" t="n">
        <v>49.8</v>
      </c>
      <c r="G14" s="22" t="n">
        <v>26.5</v>
      </c>
      <c r="H14" s="22" t="n">
        <v>0.393</v>
      </c>
      <c r="I14" s="26" t="n">
        <v>48</v>
      </c>
      <c r="J14" s="42" t="n">
        <v>0</v>
      </c>
      <c r="K14" s="20" t="n">
        <v>56.9</v>
      </c>
      <c r="L14" s="22" t="n">
        <v>29.4</v>
      </c>
      <c r="M14" s="20" t="n">
        <v>58</v>
      </c>
      <c r="N14" s="22" t="n">
        <v>28.1</v>
      </c>
      <c r="O14" s="21" t="n">
        <v>100</v>
      </c>
      <c r="P14" s="20" t="n">
        <v>54.5</v>
      </c>
      <c r="Q14" s="21" t="n">
        <v>83.4</v>
      </c>
      <c r="R14" s="26" t="n">
        <v>100</v>
      </c>
      <c r="S14" s="22" t="n">
        <v>19.6</v>
      </c>
      <c r="T14" s="20" t="n">
        <v>51.3</v>
      </c>
      <c r="U14" s="22" t="n">
        <v>30</v>
      </c>
      <c r="V14" s="20" t="n">
        <v>26.3</v>
      </c>
      <c r="W14" s="21" t="n">
        <v>15</v>
      </c>
      <c r="X14" s="42" t="n">
        <v>0</v>
      </c>
    </row>
    <row r="15" customFormat="false" ht="18" hidden="false" customHeight="true" outlineLevel="0" collapsed="false">
      <c r="B15" s="28" t="s">
        <v>51</v>
      </c>
      <c r="C15" s="61" t="s">
        <v>132</v>
      </c>
      <c r="D15" s="44" t="n">
        <v>1.5</v>
      </c>
      <c r="E15" s="31" t="n">
        <v>49.9</v>
      </c>
      <c r="F15" s="20" t="n">
        <v>46.4</v>
      </c>
      <c r="G15" s="22" t="n">
        <v>28.6</v>
      </c>
      <c r="H15" s="22" t="n">
        <v>0.294</v>
      </c>
      <c r="I15" s="31" t="n">
        <v>48</v>
      </c>
      <c r="J15" s="44" t="n">
        <v>0</v>
      </c>
      <c r="K15" s="20" t="n">
        <v>60.8</v>
      </c>
      <c r="L15" s="22" t="n">
        <v>28</v>
      </c>
      <c r="M15" s="20" t="n">
        <v>58</v>
      </c>
      <c r="N15" s="22" t="n">
        <v>28.4</v>
      </c>
      <c r="O15" s="21" t="n">
        <v>100</v>
      </c>
      <c r="P15" s="20" t="n">
        <v>54.5</v>
      </c>
      <c r="Q15" s="21" t="n">
        <v>95.8</v>
      </c>
      <c r="R15" s="31" t="n">
        <v>100</v>
      </c>
      <c r="S15" s="22" t="n">
        <v>12.1</v>
      </c>
      <c r="T15" s="20" t="n">
        <v>48.7</v>
      </c>
      <c r="U15" s="22" t="n">
        <v>28.2</v>
      </c>
      <c r="V15" s="20" t="n">
        <v>23.9</v>
      </c>
      <c r="W15" s="21" t="n">
        <v>14.1</v>
      </c>
      <c r="X15" s="44" t="n">
        <v>0</v>
      </c>
    </row>
    <row r="16" customFormat="false" ht="18" hidden="false" customHeight="true" outlineLevel="0" collapsed="false">
      <c r="B16" s="16" t="s">
        <v>52</v>
      </c>
      <c r="C16" s="60" t="s">
        <v>132</v>
      </c>
      <c r="D16" s="42" t="n">
        <v>1.41</v>
      </c>
      <c r="E16" s="26" t="n">
        <v>46.9</v>
      </c>
      <c r="F16" s="22" t="n">
        <v>37.5</v>
      </c>
      <c r="G16" s="22" t="n">
        <v>21.8</v>
      </c>
      <c r="H16" s="22" t="n">
        <v>0.259</v>
      </c>
      <c r="I16" s="26" t="n">
        <v>48</v>
      </c>
      <c r="J16" s="42" t="n">
        <v>0</v>
      </c>
      <c r="K16" s="20" t="n">
        <v>62.3</v>
      </c>
      <c r="L16" s="22" t="n">
        <v>21.5</v>
      </c>
      <c r="M16" s="20" t="n">
        <v>58</v>
      </c>
      <c r="N16" s="22" t="n">
        <v>23.7</v>
      </c>
      <c r="O16" s="21" t="n">
        <v>100</v>
      </c>
      <c r="P16" s="20" t="n">
        <v>52.7</v>
      </c>
      <c r="Q16" s="21" t="n">
        <v>91.8</v>
      </c>
      <c r="R16" s="26" t="n">
        <v>100</v>
      </c>
      <c r="S16" s="22" t="n">
        <v>8.9</v>
      </c>
      <c r="T16" s="20" t="n">
        <v>47.6</v>
      </c>
      <c r="U16" s="22" t="n">
        <v>27.2</v>
      </c>
      <c r="V16" s="20" t="n">
        <v>21.7</v>
      </c>
      <c r="W16" s="21" t="n">
        <v>13.6</v>
      </c>
      <c r="X16" s="42" t="n">
        <v>0</v>
      </c>
    </row>
    <row r="17" customFormat="false" ht="18" hidden="false" customHeight="true" outlineLevel="0" collapsed="false">
      <c r="B17" s="28" t="s">
        <v>53</v>
      </c>
      <c r="C17" s="61" t="s">
        <v>132</v>
      </c>
      <c r="D17" s="44" t="n">
        <v>1.85</v>
      </c>
      <c r="E17" s="31" t="n">
        <v>61.8</v>
      </c>
      <c r="F17" s="22" t="n">
        <v>28.6</v>
      </c>
      <c r="G17" s="22" t="n">
        <v>18</v>
      </c>
      <c r="H17" s="22" t="n">
        <v>0.421</v>
      </c>
      <c r="I17" s="31" t="n">
        <v>48</v>
      </c>
      <c r="J17" s="44" t="n">
        <v>0</v>
      </c>
      <c r="K17" s="20" t="n">
        <v>45.8</v>
      </c>
      <c r="L17" s="22" t="n">
        <v>10.7</v>
      </c>
      <c r="M17" s="20" t="n">
        <v>58</v>
      </c>
      <c r="N17" s="22" t="n">
        <v>34.9</v>
      </c>
      <c r="O17" s="21" t="n">
        <v>100</v>
      </c>
      <c r="P17" s="20" t="n">
        <v>57.2</v>
      </c>
      <c r="Q17" s="21" t="n">
        <v>82.5</v>
      </c>
      <c r="R17" s="31" t="n">
        <v>100</v>
      </c>
      <c r="S17" s="22" t="n">
        <v>17.1</v>
      </c>
      <c r="T17" s="20" t="n">
        <v>50.5</v>
      </c>
      <c r="U17" s="22" t="n">
        <v>26.8</v>
      </c>
      <c r="V17" s="20" t="n">
        <v>36</v>
      </c>
      <c r="W17" s="21" t="n">
        <v>13.4</v>
      </c>
      <c r="X17" s="44" t="n">
        <v>0</v>
      </c>
    </row>
    <row r="18" customFormat="false" ht="18" hidden="false" customHeight="true" outlineLevel="0" collapsed="false">
      <c r="B18" s="16" t="s">
        <v>55</v>
      </c>
      <c r="C18" s="60" t="s">
        <v>132</v>
      </c>
      <c r="D18" s="42" t="n">
        <v>1.81</v>
      </c>
      <c r="E18" s="26" t="n">
        <v>60.3</v>
      </c>
      <c r="F18" s="20" t="n">
        <v>49</v>
      </c>
      <c r="G18" s="22" t="n">
        <v>25.4</v>
      </c>
      <c r="H18" s="22" t="n">
        <v>0.381</v>
      </c>
      <c r="I18" s="26" t="n">
        <v>48</v>
      </c>
      <c r="J18" s="42" t="n">
        <v>0</v>
      </c>
      <c r="K18" s="20" t="n">
        <v>53.3</v>
      </c>
      <c r="L18" s="22" t="n">
        <v>25.5</v>
      </c>
      <c r="M18" s="20" t="n">
        <v>58</v>
      </c>
      <c r="N18" s="22" t="n">
        <v>21.4</v>
      </c>
      <c r="O18" s="21" t="n">
        <v>100</v>
      </c>
      <c r="P18" s="20" t="n">
        <v>51.8</v>
      </c>
      <c r="Q18" s="21" t="n">
        <v>83.8</v>
      </c>
      <c r="R18" s="26" t="n">
        <v>100</v>
      </c>
      <c r="S18" s="22" t="n">
        <v>18.5</v>
      </c>
      <c r="T18" s="20" t="n">
        <v>51</v>
      </c>
      <c r="U18" s="22" t="n">
        <v>33.5</v>
      </c>
      <c r="V18" s="20" t="n">
        <v>28.1</v>
      </c>
      <c r="W18" s="21" t="n">
        <v>16.8</v>
      </c>
      <c r="X18" s="42" t="n">
        <v>0</v>
      </c>
    </row>
    <row r="19" customFormat="false" ht="18" hidden="false" customHeight="true" outlineLevel="0" collapsed="false">
      <c r="B19" s="28" t="s">
        <v>57</v>
      </c>
      <c r="C19" s="61" t="s">
        <v>130</v>
      </c>
      <c r="D19" s="44" t="n">
        <v>1.68</v>
      </c>
      <c r="E19" s="31" t="n">
        <v>55.9</v>
      </c>
      <c r="F19" s="22" t="n">
        <v>30.9</v>
      </c>
      <c r="G19" s="22" t="n">
        <v>19.9</v>
      </c>
      <c r="H19" s="22" t="n">
        <v>0.359</v>
      </c>
      <c r="I19" s="31" t="n">
        <v>48</v>
      </c>
      <c r="J19" s="44" t="n">
        <v>0</v>
      </c>
      <c r="K19" s="22" t="n">
        <v>27.4</v>
      </c>
      <c r="L19" s="22" t="n">
        <v>12</v>
      </c>
      <c r="M19" s="20" t="n">
        <v>58</v>
      </c>
      <c r="N19" s="22" t="n">
        <v>25</v>
      </c>
      <c r="O19" s="20" t="n">
        <v>64.2</v>
      </c>
      <c r="P19" s="20" t="n">
        <v>46</v>
      </c>
      <c r="Q19" s="21" t="n">
        <v>83</v>
      </c>
      <c r="R19" s="31" t="n">
        <v>100</v>
      </c>
      <c r="S19" s="22" t="n">
        <v>16.2</v>
      </c>
      <c r="T19" s="22" t="n">
        <v>41.8</v>
      </c>
      <c r="U19" s="22" t="n">
        <v>21</v>
      </c>
      <c r="V19" s="20" t="n">
        <v>29.1</v>
      </c>
      <c r="W19" s="21" t="n">
        <v>10.5</v>
      </c>
      <c r="X19" s="44" t="n">
        <v>0</v>
      </c>
    </row>
    <row r="20" customFormat="false" ht="18" hidden="false" customHeight="true" outlineLevel="0" collapsed="false">
      <c r="B20" s="16" t="s">
        <v>58</v>
      </c>
      <c r="C20" s="60" t="s">
        <v>130</v>
      </c>
      <c r="D20" s="42" t="n">
        <v>1.77</v>
      </c>
      <c r="E20" s="26" t="n">
        <v>59</v>
      </c>
      <c r="F20" s="21" t="n">
        <v>81.7</v>
      </c>
      <c r="G20" s="22" t="n">
        <v>36.3</v>
      </c>
      <c r="H20" s="22" t="n">
        <v>0.368</v>
      </c>
      <c r="I20" s="26" t="n">
        <v>78.5</v>
      </c>
      <c r="J20" s="42" t="n">
        <v>0</v>
      </c>
      <c r="K20" s="22" t="n">
        <v>30</v>
      </c>
      <c r="L20" s="22" t="n">
        <v>30</v>
      </c>
      <c r="M20" s="20" t="n">
        <v>58</v>
      </c>
      <c r="N20" s="22" t="n">
        <v>10</v>
      </c>
      <c r="O20" s="20" t="n">
        <v>45.1</v>
      </c>
      <c r="P20" s="22" t="n">
        <v>36.2</v>
      </c>
      <c r="Q20" s="21" t="n">
        <v>90</v>
      </c>
      <c r="R20" s="26" t="n">
        <v>100</v>
      </c>
      <c r="S20" s="22" t="n">
        <v>23.1</v>
      </c>
      <c r="T20" s="22" t="n">
        <v>44.9</v>
      </c>
      <c r="U20" s="22" t="n">
        <v>30</v>
      </c>
      <c r="V20" s="21" t="n">
        <v>14.5</v>
      </c>
      <c r="W20" s="21" t="n">
        <v>15</v>
      </c>
      <c r="X20" s="42" t="n">
        <v>0</v>
      </c>
    </row>
    <row r="21" customFormat="false" ht="18" hidden="false" customHeight="true" outlineLevel="0" collapsed="false">
      <c r="B21" s="28" t="s">
        <v>59</v>
      </c>
      <c r="C21" s="61" t="s">
        <v>132</v>
      </c>
      <c r="D21" s="44" t="n">
        <v>1.58</v>
      </c>
      <c r="E21" s="31" t="n">
        <v>52.7</v>
      </c>
      <c r="F21" s="22" t="n">
        <v>43.7</v>
      </c>
      <c r="G21" s="22" t="n">
        <v>24.5</v>
      </c>
      <c r="H21" s="22" t="n">
        <v>0.314</v>
      </c>
      <c r="I21" s="31" t="n">
        <v>48</v>
      </c>
      <c r="J21" s="44" t="n">
        <v>0</v>
      </c>
      <c r="K21" s="20" t="n">
        <v>53.4</v>
      </c>
      <c r="L21" s="22" t="n">
        <v>24</v>
      </c>
      <c r="M21" s="20" t="n">
        <v>58</v>
      </c>
      <c r="N21" s="22" t="n">
        <v>20.4</v>
      </c>
      <c r="O21" s="21" t="n">
        <v>100</v>
      </c>
      <c r="P21" s="20" t="n">
        <v>51.4</v>
      </c>
      <c r="Q21" s="21" t="n">
        <v>90.8</v>
      </c>
      <c r="R21" s="31" t="n">
        <v>100</v>
      </c>
      <c r="S21" s="22" t="n">
        <v>12.9</v>
      </c>
      <c r="T21" s="20" t="n">
        <v>49</v>
      </c>
      <c r="U21" s="22" t="n">
        <v>36.8</v>
      </c>
      <c r="V21" s="20" t="n">
        <v>22.3</v>
      </c>
      <c r="W21" s="21" t="n">
        <v>18.4</v>
      </c>
      <c r="X21" s="44" t="n">
        <v>0</v>
      </c>
    </row>
    <row r="22" customFormat="false" ht="18" hidden="false" customHeight="true" outlineLevel="0" collapsed="false">
      <c r="B22" s="16" t="s">
        <v>60</v>
      </c>
      <c r="C22" s="60" t="s">
        <v>131</v>
      </c>
      <c r="D22" s="42" t="n">
        <v>1.53</v>
      </c>
      <c r="E22" s="26" t="n">
        <v>50.9</v>
      </c>
      <c r="F22" s="22" t="n">
        <v>40</v>
      </c>
      <c r="G22" s="22" t="n">
        <v>17</v>
      </c>
      <c r="H22" s="22" t="n">
        <v>0.262</v>
      </c>
      <c r="I22" s="26" t="n">
        <v>40.8</v>
      </c>
      <c r="J22" s="42" t="n">
        <v>0</v>
      </c>
      <c r="K22" s="22" t="n">
        <v>24</v>
      </c>
      <c r="L22" s="22" t="n">
        <v>16</v>
      </c>
      <c r="M22" s="20" t="n">
        <v>62</v>
      </c>
      <c r="N22" s="22" t="n">
        <v>12</v>
      </c>
      <c r="O22" s="21" t="n">
        <v>100</v>
      </c>
      <c r="P22" s="20" t="n">
        <v>49.6</v>
      </c>
      <c r="Q22" s="21" t="n">
        <v>100</v>
      </c>
      <c r="R22" s="26" t="n">
        <v>100</v>
      </c>
      <c r="S22" s="22" t="n">
        <v>19.4</v>
      </c>
      <c r="T22" s="20" t="n">
        <v>51.3</v>
      </c>
      <c r="U22" s="22" t="n">
        <v>36</v>
      </c>
      <c r="V22" s="21" t="n">
        <v>9.1</v>
      </c>
      <c r="W22" s="21" t="n">
        <v>18</v>
      </c>
      <c r="X22" s="42" t="n">
        <v>0</v>
      </c>
    </row>
    <row r="23" customFormat="false" ht="18" hidden="false" customHeight="true" outlineLevel="0" collapsed="false">
      <c r="B23" s="28" t="s">
        <v>61</v>
      </c>
      <c r="C23" s="61" t="s">
        <v>132</v>
      </c>
      <c r="D23" s="44" t="n">
        <v>1.47</v>
      </c>
      <c r="E23" s="31" t="n">
        <v>49.1</v>
      </c>
      <c r="F23" s="22" t="n">
        <v>31.8</v>
      </c>
      <c r="G23" s="22" t="n">
        <v>18.2</v>
      </c>
      <c r="H23" s="22" t="n">
        <v>0.284</v>
      </c>
      <c r="I23" s="31" t="n">
        <v>48</v>
      </c>
      <c r="J23" s="44" t="n">
        <v>0</v>
      </c>
      <c r="K23" s="20" t="n">
        <v>47.6</v>
      </c>
      <c r="L23" s="22" t="n">
        <v>17.1</v>
      </c>
      <c r="M23" s="20" t="n">
        <v>58</v>
      </c>
      <c r="N23" s="22" t="n">
        <v>26.5</v>
      </c>
      <c r="O23" s="21" t="n">
        <v>100</v>
      </c>
      <c r="P23" s="20" t="n">
        <v>53.8</v>
      </c>
      <c r="Q23" s="21" t="n">
        <v>88.9</v>
      </c>
      <c r="R23" s="31" t="n">
        <v>100</v>
      </c>
      <c r="S23" s="22" t="n">
        <v>12.7</v>
      </c>
      <c r="T23" s="20" t="n">
        <v>48.9</v>
      </c>
      <c r="U23" s="22" t="n">
        <v>37.4</v>
      </c>
      <c r="V23" s="20" t="n">
        <v>22.3</v>
      </c>
      <c r="W23" s="21" t="n">
        <v>18.7</v>
      </c>
      <c r="X23" s="44" t="n">
        <v>0</v>
      </c>
    </row>
    <row r="24" customFormat="false" ht="18" hidden="false" customHeight="true" outlineLevel="0" collapsed="false">
      <c r="B24" s="16" t="s">
        <v>62</v>
      </c>
      <c r="C24" s="60" t="s">
        <v>132</v>
      </c>
      <c r="D24" s="42" t="n">
        <v>1.25</v>
      </c>
      <c r="E24" s="26" t="n">
        <v>41.7</v>
      </c>
      <c r="F24" s="22" t="n">
        <v>28.7</v>
      </c>
      <c r="G24" s="22" t="n">
        <v>18.3</v>
      </c>
      <c r="H24" s="22" t="n">
        <v>0.178</v>
      </c>
      <c r="I24" s="26" t="n">
        <v>48</v>
      </c>
      <c r="J24" s="42" t="n">
        <v>0</v>
      </c>
      <c r="K24" s="22" t="n">
        <v>40.4</v>
      </c>
      <c r="L24" s="22" t="n">
        <v>12.1</v>
      </c>
      <c r="M24" s="20" t="n">
        <v>58</v>
      </c>
      <c r="N24" s="22" t="n">
        <v>22.2</v>
      </c>
      <c r="O24" s="21" t="n">
        <v>100</v>
      </c>
      <c r="P24" s="20" t="n">
        <v>52.1</v>
      </c>
      <c r="Q24" s="21" t="n">
        <v>94.8</v>
      </c>
      <c r="R24" s="26" t="n">
        <v>100</v>
      </c>
      <c r="S24" s="22" t="n">
        <v>10.6</v>
      </c>
      <c r="T24" s="20" t="n">
        <v>48.2</v>
      </c>
      <c r="U24" s="22" t="n">
        <v>33.3</v>
      </c>
      <c r="V24" s="21" t="n">
        <v>14.8</v>
      </c>
      <c r="W24" s="21" t="n">
        <v>16.6</v>
      </c>
      <c r="X24" s="42" t="n">
        <v>0</v>
      </c>
    </row>
    <row r="25" customFormat="false" ht="18" hidden="false" customHeight="true" outlineLevel="0" collapsed="false">
      <c r="B25" s="28" t="s">
        <v>63</v>
      </c>
      <c r="C25" s="61" t="s">
        <v>132</v>
      </c>
      <c r="D25" s="44" t="n">
        <v>1.37</v>
      </c>
      <c r="E25" s="31" t="n">
        <v>45.8</v>
      </c>
      <c r="F25" s="22" t="n">
        <v>26.6</v>
      </c>
      <c r="G25" s="22" t="n">
        <v>16.6</v>
      </c>
      <c r="H25" s="22" t="n">
        <v>0.241</v>
      </c>
      <c r="I25" s="31" t="n">
        <v>48</v>
      </c>
      <c r="J25" s="44" t="n">
        <v>0</v>
      </c>
      <c r="K25" s="22" t="n">
        <v>40.6</v>
      </c>
      <c r="L25" s="22" t="n">
        <v>10.9</v>
      </c>
      <c r="M25" s="20" t="n">
        <v>58</v>
      </c>
      <c r="N25" s="22" t="n">
        <v>22.3</v>
      </c>
      <c r="O25" s="21" t="n">
        <v>100</v>
      </c>
      <c r="P25" s="20" t="n">
        <v>52.1</v>
      </c>
      <c r="Q25" s="21" t="n">
        <v>86.7</v>
      </c>
      <c r="R25" s="31" t="n">
        <v>100</v>
      </c>
      <c r="S25" s="22" t="n">
        <v>13.2</v>
      </c>
      <c r="T25" s="20" t="n">
        <v>49.1</v>
      </c>
      <c r="U25" s="22" t="n">
        <v>34.6</v>
      </c>
      <c r="V25" s="21" t="n">
        <v>19.8</v>
      </c>
      <c r="W25" s="21" t="n">
        <v>17.3</v>
      </c>
      <c r="X25" s="44" t="n">
        <v>0</v>
      </c>
    </row>
    <row r="26" customFormat="false" ht="18" hidden="false" customHeight="true" outlineLevel="0" collapsed="false">
      <c r="B26" s="16" t="s">
        <v>64</v>
      </c>
      <c r="C26" s="60" t="s">
        <v>132</v>
      </c>
      <c r="D26" s="42" t="n">
        <v>1.31</v>
      </c>
      <c r="E26" s="26" t="n">
        <v>43.8</v>
      </c>
      <c r="F26" s="22" t="n">
        <v>24.1</v>
      </c>
      <c r="G26" s="22" t="n">
        <v>13.9</v>
      </c>
      <c r="H26" s="22" t="n">
        <v>0.209</v>
      </c>
      <c r="I26" s="26" t="n">
        <v>48</v>
      </c>
      <c r="J26" s="42" t="n">
        <v>0</v>
      </c>
      <c r="K26" s="22" t="n">
        <v>43.5</v>
      </c>
      <c r="L26" s="22" t="n">
        <v>9.9</v>
      </c>
      <c r="M26" s="20" t="n">
        <v>58</v>
      </c>
      <c r="N26" s="22" t="n">
        <v>24.2</v>
      </c>
      <c r="O26" s="21" t="n">
        <v>100</v>
      </c>
      <c r="P26" s="20" t="n">
        <v>52.9</v>
      </c>
      <c r="Q26" s="21" t="n">
        <v>92</v>
      </c>
      <c r="R26" s="26" t="n">
        <v>100</v>
      </c>
      <c r="S26" s="22" t="n">
        <v>11.4</v>
      </c>
      <c r="T26" s="20" t="n">
        <v>48.5</v>
      </c>
      <c r="U26" s="22" t="n">
        <v>39.6</v>
      </c>
      <c r="V26" s="21" t="n">
        <v>16.7</v>
      </c>
      <c r="W26" s="21" t="n">
        <v>19.8</v>
      </c>
      <c r="X26" s="42" t="n">
        <v>0</v>
      </c>
    </row>
    <row r="27" customFormat="false" ht="18" hidden="false" customHeight="true" outlineLevel="0" collapsed="false">
      <c r="B27" s="28" t="s">
        <v>65</v>
      </c>
      <c r="C27" s="61" t="s">
        <v>132</v>
      </c>
      <c r="D27" s="44" t="n">
        <v>1.35</v>
      </c>
      <c r="E27" s="31" t="n">
        <v>44.9</v>
      </c>
      <c r="F27" s="22" t="n">
        <v>26.9</v>
      </c>
      <c r="G27" s="22" t="n">
        <v>13.7</v>
      </c>
      <c r="H27" s="22" t="n">
        <v>0.217</v>
      </c>
      <c r="I27" s="31" t="n">
        <v>48</v>
      </c>
      <c r="J27" s="44" t="n">
        <v>0</v>
      </c>
      <c r="K27" s="22" t="n">
        <v>41.9</v>
      </c>
      <c r="L27" s="22" t="n">
        <v>13</v>
      </c>
      <c r="M27" s="20" t="n">
        <v>58</v>
      </c>
      <c r="N27" s="22" t="n">
        <v>25</v>
      </c>
      <c r="O27" s="21" t="n">
        <v>100</v>
      </c>
      <c r="P27" s="20" t="n">
        <v>53.2</v>
      </c>
      <c r="Q27" s="21" t="n">
        <v>93.6</v>
      </c>
      <c r="R27" s="31" t="n">
        <v>100</v>
      </c>
      <c r="S27" s="22" t="n">
        <v>9.2</v>
      </c>
      <c r="T27" s="20" t="n">
        <v>47.7</v>
      </c>
      <c r="U27" s="22" t="n">
        <v>41.7</v>
      </c>
      <c r="V27" s="21" t="n">
        <v>16</v>
      </c>
      <c r="W27" s="20" t="n">
        <v>30.9</v>
      </c>
      <c r="X27" s="44" t="n">
        <v>0</v>
      </c>
    </row>
    <row r="28" customFormat="false" ht="18" hidden="false" customHeight="true" outlineLevel="0" collapsed="false">
      <c r="B28" s="16" t="s">
        <v>67</v>
      </c>
      <c r="C28" s="60" t="s">
        <v>132</v>
      </c>
      <c r="D28" s="26" t="n">
        <v>2.64</v>
      </c>
      <c r="E28" s="26" t="n">
        <v>88.1</v>
      </c>
      <c r="F28" s="22" t="n">
        <v>16</v>
      </c>
      <c r="G28" s="22" t="n">
        <v>8</v>
      </c>
      <c r="H28" s="22" t="n">
        <v>0.496</v>
      </c>
      <c r="I28" s="42" t="n">
        <v>0.9</v>
      </c>
      <c r="J28" s="26" t="n">
        <v>77.2</v>
      </c>
      <c r="K28" s="22" t="n">
        <v>16</v>
      </c>
      <c r="L28" s="22" t="n">
        <v>4</v>
      </c>
      <c r="M28" s="20" t="n">
        <v>58</v>
      </c>
      <c r="N28" s="22" t="n">
        <v>4</v>
      </c>
      <c r="O28" s="20" t="n">
        <v>57.9</v>
      </c>
      <c r="P28" s="22" t="n">
        <v>36.4</v>
      </c>
      <c r="Q28" s="22" t="n">
        <v>32</v>
      </c>
      <c r="R28" s="26" t="n">
        <v>100</v>
      </c>
      <c r="S28" s="22" t="n">
        <v>28.6</v>
      </c>
      <c r="T28" s="20" t="n">
        <v>54.5</v>
      </c>
      <c r="U28" s="21" t="n">
        <v>80</v>
      </c>
      <c r="V28" s="20" t="n">
        <v>37.8</v>
      </c>
      <c r="W28" s="20" t="n">
        <v>35</v>
      </c>
      <c r="X28" s="42" t="n">
        <v>0</v>
      </c>
    </row>
    <row r="29" customFormat="false" ht="18" hidden="false" customHeight="true" outlineLevel="0" collapsed="false">
      <c r="B29" s="28" t="s">
        <v>68</v>
      </c>
      <c r="C29" s="61" t="s">
        <v>131</v>
      </c>
      <c r="D29" s="44" t="n">
        <v>1.22</v>
      </c>
      <c r="E29" s="31" t="n">
        <v>40.7</v>
      </c>
      <c r="F29" s="22" t="n">
        <v>10.7</v>
      </c>
      <c r="G29" s="22" t="n">
        <v>3</v>
      </c>
      <c r="H29" s="22" t="n">
        <v>0.166</v>
      </c>
      <c r="I29" s="31" t="n">
        <v>4.5</v>
      </c>
      <c r="J29" s="31" t="n">
        <v>62.6</v>
      </c>
      <c r="K29" s="22" t="n">
        <v>8</v>
      </c>
      <c r="L29" s="22" t="n">
        <v>0</v>
      </c>
      <c r="M29" s="20" t="n">
        <v>62</v>
      </c>
      <c r="N29" s="22" t="n">
        <v>0</v>
      </c>
      <c r="O29" s="22" t="n">
        <v>13.4</v>
      </c>
      <c r="P29" s="22" t="n">
        <v>27.5</v>
      </c>
      <c r="Q29" s="21" t="n">
        <v>100</v>
      </c>
      <c r="R29" s="31" t="n">
        <v>100</v>
      </c>
      <c r="S29" s="22" t="n">
        <v>0</v>
      </c>
      <c r="T29" s="22" t="n">
        <v>44.5</v>
      </c>
      <c r="U29" s="21" t="n">
        <v>88</v>
      </c>
      <c r="V29" s="21" t="n">
        <v>12.1</v>
      </c>
      <c r="W29" s="20" t="n">
        <v>35</v>
      </c>
      <c r="X29" s="44" t="n">
        <v>0</v>
      </c>
    </row>
    <row r="31" customFormat="false" ht="30" hidden="false" customHeight="true" outlineLevel="0" collapsed="false">
      <c r="A31" s="62"/>
      <c r="B31" s="63" t="s">
        <v>133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</sheetData>
  <mergeCells count="8">
    <mergeCell ref="B2:X2"/>
    <mergeCell ref="B3:X3"/>
    <mergeCell ref="C5:H5"/>
    <mergeCell ref="I5:L5"/>
    <mergeCell ref="M5:P5"/>
    <mergeCell ref="Q5:T5"/>
    <mergeCell ref="U5:X5"/>
    <mergeCell ref="B31:X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3" min="12" style="0" width="3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1"/>
      <c r="B2" s="41" t="s">
        <v>134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customFormat="false" ht="18" hidden="false" customHeight="true" outlineLevel="0" collapsed="false">
      <c r="A3" s="64"/>
      <c r="B3" s="53" t="s">
        <v>135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9.5" hidden="false" customHeight="true" outlineLevel="0" collapsed="false">
      <c r="A5" s="13"/>
      <c r="B5" s="65" t="s">
        <v>136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customFormat="false" ht="6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36" hidden="false" customHeight="true" outlineLevel="0" collapsed="false">
      <c r="B7" s="15" t="s">
        <v>14</v>
      </c>
      <c r="C7" s="15" t="s">
        <v>110</v>
      </c>
      <c r="D7" s="15" t="s">
        <v>137</v>
      </c>
      <c r="E7" s="15" t="s">
        <v>24</v>
      </c>
      <c r="F7" s="15" t="s">
        <v>25</v>
      </c>
      <c r="G7" s="15" t="s">
        <v>138</v>
      </c>
      <c r="H7" s="15" t="s">
        <v>26</v>
      </c>
      <c r="I7" s="15" t="s">
        <v>139</v>
      </c>
      <c r="J7" s="15" t="s">
        <v>27</v>
      </c>
      <c r="K7" s="15" t="s">
        <v>140</v>
      </c>
      <c r="L7" s="15" t="s">
        <v>141</v>
      </c>
      <c r="M7" s="15" t="s">
        <v>142</v>
      </c>
    </row>
    <row r="8" customFormat="false" ht="24" hidden="false" customHeight="true" outlineLevel="0" collapsed="false">
      <c r="B8" s="16" t="s">
        <v>29</v>
      </c>
      <c r="C8" s="66" t="s">
        <v>31</v>
      </c>
      <c r="D8" s="67" t="n">
        <v>54.7</v>
      </c>
      <c r="E8" s="24" t="s">
        <v>33</v>
      </c>
      <c r="F8" s="21" t="n">
        <v>12</v>
      </c>
      <c r="G8" s="22" t="n">
        <v>6</v>
      </c>
      <c r="H8" s="25" t="n">
        <v>18.4</v>
      </c>
      <c r="I8" s="26" t="n">
        <v>0</v>
      </c>
      <c r="J8" s="26" t="n">
        <v>70.4</v>
      </c>
      <c r="K8" s="68" t="s">
        <v>143</v>
      </c>
      <c r="L8" s="27" t="s">
        <v>34</v>
      </c>
      <c r="M8" s="27" t="s">
        <v>144</v>
      </c>
    </row>
    <row r="9" customFormat="false" ht="24" hidden="false" customHeight="true" outlineLevel="0" collapsed="false">
      <c r="B9" s="28" t="s">
        <v>35</v>
      </c>
      <c r="C9" s="69" t="s">
        <v>36</v>
      </c>
      <c r="D9" s="67" t="n">
        <v>50.2</v>
      </c>
      <c r="E9" s="24" t="s">
        <v>33</v>
      </c>
      <c r="F9" s="21" t="n">
        <v>8</v>
      </c>
      <c r="G9" s="22" t="n">
        <v>4</v>
      </c>
      <c r="H9" s="25" t="n">
        <v>18</v>
      </c>
      <c r="I9" s="31" t="n">
        <v>0</v>
      </c>
      <c r="J9" s="31" t="n">
        <v>92.4</v>
      </c>
      <c r="K9" s="68" t="s">
        <v>143</v>
      </c>
      <c r="L9" s="32" t="s">
        <v>37</v>
      </c>
      <c r="M9" s="32" t="s">
        <v>144</v>
      </c>
    </row>
    <row r="10" customFormat="false" ht="24" hidden="false" customHeight="true" outlineLevel="0" collapsed="false">
      <c r="B10" s="16" t="s">
        <v>38</v>
      </c>
      <c r="C10" s="66" t="s">
        <v>31</v>
      </c>
      <c r="D10" s="70" t="n">
        <v>45.4</v>
      </c>
      <c r="E10" s="34" t="s">
        <v>39</v>
      </c>
      <c r="F10" s="21" t="n">
        <v>12</v>
      </c>
      <c r="G10" s="22" t="n">
        <v>6</v>
      </c>
      <c r="H10" s="26" t="n">
        <v>12.5</v>
      </c>
      <c r="I10" s="26" t="n">
        <v>0</v>
      </c>
      <c r="J10" s="26" t="n">
        <v>61</v>
      </c>
      <c r="K10" s="71" t="s">
        <v>145</v>
      </c>
      <c r="L10" s="27" t="s">
        <v>34</v>
      </c>
      <c r="M10" s="27" t="s">
        <v>144</v>
      </c>
    </row>
    <row r="11" customFormat="false" ht="24" hidden="false" customHeight="true" outlineLevel="0" collapsed="false">
      <c r="B11" s="28" t="s">
        <v>40</v>
      </c>
      <c r="C11" s="69" t="s">
        <v>41</v>
      </c>
      <c r="D11" s="70" t="n">
        <v>43.5</v>
      </c>
      <c r="E11" s="34" t="s">
        <v>39</v>
      </c>
      <c r="F11" s="21" t="n">
        <v>16</v>
      </c>
      <c r="G11" s="22" t="n">
        <v>8</v>
      </c>
      <c r="H11" s="25" t="n">
        <v>17.6</v>
      </c>
      <c r="I11" s="31" t="n">
        <v>0</v>
      </c>
      <c r="J11" s="31" t="n">
        <v>67.5</v>
      </c>
      <c r="K11" s="71" t="s">
        <v>145</v>
      </c>
      <c r="L11" s="32" t="s">
        <v>34</v>
      </c>
      <c r="M11" s="32" t="s">
        <v>144</v>
      </c>
    </row>
    <row r="12" customFormat="false" ht="24" hidden="false" customHeight="true" outlineLevel="0" collapsed="false">
      <c r="B12" s="16" t="s">
        <v>43</v>
      </c>
      <c r="C12" s="66" t="s">
        <v>36</v>
      </c>
      <c r="D12" s="70" t="n">
        <v>35.4</v>
      </c>
      <c r="E12" s="34" t="s">
        <v>39</v>
      </c>
      <c r="F12" s="21" t="n">
        <v>16</v>
      </c>
      <c r="G12" s="22" t="n">
        <v>8</v>
      </c>
      <c r="H12" s="25" t="n">
        <v>20</v>
      </c>
      <c r="I12" s="26" t="n">
        <v>0</v>
      </c>
      <c r="J12" s="26" t="n">
        <v>67.5</v>
      </c>
      <c r="K12" s="71" t="s">
        <v>145</v>
      </c>
      <c r="L12" s="27" t="s">
        <v>34</v>
      </c>
      <c r="M12" s="27" t="s">
        <v>144</v>
      </c>
    </row>
    <row r="13" customFormat="false" ht="24" hidden="false" customHeight="true" outlineLevel="0" collapsed="false">
      <c r="B13" s="28" t="s">
        <v>45</v>
      </c>
      <c r="C13" s="69" t="s">
        <v>47</v>
      </c>
      <c r="D13" s="72" t="n">
        <v>32.9</v>
      </c>
      <c r="E13" s="37" t="s">
        <v>48</v>
      </c>
      <c r="F13" s="21" t="n">
        <v>17.6</v>
      </c>
      <c r="G13" s="22" t="n">
        <v>8.8</v>
      </c>
      <c r="H13" s="25" t="n">
        <v>17.7</v>
      </c>
      <c r="I13" s="31" t="n">
        <v>0</v>
      </c>
      <c r="J13" s="31" t="n">
        <v>41.4</v>
      </c>
      <c r="K13" s="37" t="s">
        <v>146</v>
      </c>
      <c r="L13" s="32" t="s">
        <v>49</v>
      </c>
      <c r="M13" s="32" t="s">
        <v>34</v>
      </c>
    </row>
    <row r="14" customFormat="false" ht="24" hidden="false" customHeight="true" outlineLevel="0" collapsed="false">
      <c r="B14" s="16" t="s">
        <v>50</v>
      </c>
      <c r="C14" s="66" t="s">
        <v>47</v>
      </c>
      <c r="D14" s="72" t="n">
        <v>29.1</v>
      </c>
      <c r="E14" s="37" t="s">
        <v>48</v>
      </c>
      <c r="F14" s="20" t="n">
        <v>30</v>
      </c>
      <c r="G14" s="22" t="n">
        <v>15</v>
      </c>
      <c r="H14" s="25" t="n">
        <v>26.3</v>
      </c>
      <c r="I14" s="26" t="n">
        <v>0</v>
      </c>
      <c r="J14" s="26" t="n">
        <v>63</v>
      </c>
      <c r="K14" s="37" t="s">
        <v>146</v>
      </c>
      <c r="L14" s="27" t="s">
        <v>34</v>
      </c>
      <c r="M14" s="27" t="s">
        <v>144</v>
      </c>
    </row>
    <row r="15" customFormat="false" ht="24" hidden="false" customHeight="true" outlineLevel="0" collapsed="false">
      <c r="B15" s="28" t="s">
        <v>51</v>
      </c>
      <c r="C15" s="69" t="s">
        <v>47</v>
      </c>
      <c r="D15" s="72" t="n">
        <v>29</v>
      </c>
      <c r="E15" s="37" t="s">
        <v>48</v>
      </c>
      <c r="F15" s="20" t="n">
        <v>28.2</v>
      </c>
      <c r="G15" s="22" t="n">
        <v>14.1</v>
      </c>
      <c r="H15" s="25" t="n">
        <v>23.9</v>
      </c>
      <c r="I15" s="31" t="n">
        <v>0</v>
      </c>
      <c r="J15" s="31" t="n">
        <v>49.9</v>
      </c>
      <c r="K15" s="37" t="s">
        <v>146</v>
      </c>
      <c r="L15" s="32" t="s">
        <v>34</v>
      </c>
      <c r="M15" s="32" t="s">
        <v>144</v>
      </c>
    </row>
    <row r="16" customFormat="false" ht="24" hidden="false" customHeight="true" outlineLevel="0" collapsed="false">
      <c r="B16" s="16" t="s">
        <v>52</v>
      </c>
      <c r="C16" s="66" t="s">
        <v>47</v>
      </c>
      <c r="D16" s="72" t="n">
        <v>27.2</v>
      </c>
      <c r="E16" s="37" t="s">
        <v>48</v>
      </c>
      <c r="F16" s="20" t="n">
        <v>27.2</v>
      </c>
      <c r="G16" s="22" t="n">
        <v>13.6</v>
      </c>
      <c r="H16" s="25" t="n">
        <v>21.7</v>
      </c>
      <c r="I16" s="26" t="n">
        <v>0</v>
      </c>
      <c r="J16" s="26" t="n">
        <v>46.9</v>
      </c>
      <c r="K16" s="37" t="s">
        <v>146</v>
      </c>
      <c r="L16" s="27" t="s">
        <v>34</v>
      </c>
      <c r="M16" s="27" t="s">
        <v>144</v>
      </c>
    </row>
    <row r="17" customFormat="false" ht="24" hidden="false" customHeight="true" outlineLevel="0" collapsed="false">
      <c r="B17" s="28" t="s">
        <v>53</v>
      </c>
      <c r="C17" s="69" t="s">
        <v>47</v>
      </c>
      <c r="D17" s="72" t="n">
        <v>26.6</v>
      </c>
      <c r="E17" s="37" t="s">
        <v>48</v>
      </c>
      <c r="F17" s="20" t="n">
        <v>26.8</v>
      </c>
      <c r="G17" s="22" t="n">
        <v>13.4</v>
      </c>
      <c r="H17" s="38" t="n">
        <v>36</v>
      </c>
      <c r="I17" s="31" t="n">
        <v>0</v>
      </c>
      <c r="J17" s="31" t="n">
        <v>61.8</v>
      </c>
      <c r="K17" s="37" t="s">
        <v>146</v>
      </c>
      <c r="L17" s="32" t="s">
        <v>34</v>
      </c>
      <c r="M17" s="32" t="s">
        <v>144</v>
      </c>
    </row>
    <row r="18" customFormat="false" ht="24" hidden="false" customHeight="true" outlineLevel="0" collapsed="false">
      <c r="B18" s="16" t="s">
        <v>55</v>
      </c>
      <c r="C18" s="66" t="s">
        <v>47</v>
      </c>
      <c r="D18" s="72" t="n">
        <v>25.5</v>
      </c>
      <c r="E18" s="37" t="s">
        <v>48</v>
      </c>
      <c r="F18" s="20" t="n">
        <v>33.5</v>
      </c>
      <c r="G18" s="22" t="n">
        <v>16.8</v>
      </c>
      <c r="H18" s="25" t="n">
        <v>28.1</v>
      </c>
      <c r="I18" s="26" t="n">
        <v>0</v>
      </c>
      <c r="J18" s="26" t="n">
        <v>60.3</v>
      </c>
      <c r="K18" s="37" t="s">
        <v>146</v>
      </c>
      <c r="L18" s="27" t="s">
        <v>56</v>
      </c>
      <c r="M18" s="27" t="s">
        <v>34</v>
      </c>
    </row>
    <row r="19" customFormat="false" ht="24" hidden="false" customHeight="true" outlineLevel="0" collapsed="false">
      <c r="B19" s="28" t="s">
        <v>57</v>
      </c>
      <c r="C19" s="69" t="s">
        <v>36</v>
      </c>
      <c r="D19" s="72" t="n">
        <v>25.4</v>
      </c>
      <c r="E19" s="37" t="s">
        <v>48</v>
      </c>
      <c r="F19" s="20" t="n">
        <v>21</v>
      </c>
      <c r="G19" s="22" t="n">
        <v>10.5</v>
      </c>
      <c r="H19" s="25" t="n">
        <v>29.1</v>
      </c>
      <c r="I19" s="31" t="n">
        <v>0</v>
      </c>
      <c r="J19" s="31" t="n">
        <v>55.9</v>
      </c>
      <c r="K19" s="37" t="s">
        <v>146</v>
      </c>
      <c r="L19" s="32" t="s">
        <v>34</v>
      </c>
      <c r="M19" s="32" t="s">
        <v>144</v>
      </c>
    </row>
    <row r="20" customFormat="false" ht="24" hidden="false" customHeight="true" outlineLevel="0" collapsed="false">
      <c r="B20" s="16" t="s">
        <v>58</v>
      </c>
      <c r="C20" s="66" t="s">
        <v>36</v>
      </c>
      <c r="D20" s="72" t="n">
        <v>24.6</v>
      </c>
      <c r="E20" s="37" t="s">
        <v>48</v>
      </c>
      <c r="F20" s="20" t="n">
        <v>30</v>
      </c>
      <c r="G20" s="22" t="n">
        <v>15</v>
      </c>
      <c r="H20" s="26" t="n">
        <v>14.5</v>
      </c>
      <c r="I20" s="26" t="n">
        <v>0</v>
      </c>
      <c r="J20" s="26" t="n">
        <v>59</v>
      </c>
      <c r="K20" s="37" t="s">
        <v>146</v>
      </c>
      <c r="L20" s="27" t="s">
        <v>34</v>
      </c>
      <c r="M20" s="27" t="s">
        <v>147</v>
      </c>
    </row>
    <row r="21" customFormat="false" ht="24" hidden="false" customHeight="true" outlineLevel="0" collapsed="false">
      <c r="B21" s="28" t="s">
        <v>59</v>
      </c>
      <c r="C21" s="69" t="s">
        <v>47</v>
      </c>
      <c r="D21" s="72" t="n">
        <v>22.4</v>
      </c>
      <c r="E21" s="37" t="s">
        <v>48</v>
      </c>
      <c r="F21" s="20" t="n">
        <v>36.8</v>
      </c>
      <c r="G21" s="22" t="n">
        <v>18.4</v>
      </c>
      <c r="H21" s="25" t="n">
        <v>22.3</v>
      </c>
      <c r="I21" s="31" t="n">
        <v>0</v>
      </c>
      <c r="J21" s="31" t="n">
        <v>52.7</v>
      </c>
      <c r="K21" s="37" t="s">
        <v>146</v>
      </c>
      <c r="L21" s="32" t="s">
        <v>56</v>
      </c>
      <c r="M21" s="32" t="s">
        <v>34</v>
      </c>
    </row>
    <row r="22" customFormat="false" ht="24" hidden="false" customHeight="true" outlineLevel="0" collapsed="false">
      <c r="B22" s="16" t="s">
        <v>60</v>
      </c>
      <c r="C22" s="66" t="s">
        <v>41</v>
      </c>
      <c r="D22" s="72" t="n">
        <v>22.3</v>
      </c>
      <c r="E22" s="37" t="s">
        <v>48</v>
      </c>
      <c r="F22" s="20" t="n">
        <v>36</v>
      </c>
      <c r="G22" s="22" t="n">
        <v>18</v>
      </c>
      <c r="H22" s="26" t="n">
        <v>9.1</v>
      </c>
      <c r="I22" s="26" t="n">
        <v>0</v>
      </c>
      <c r="J22" s="26" t="n">
        <v>50.9</v>
      </c>
      <c r="K22" s="37" t="s">
        <v>146</v>
      </c>
      <c r="L22" s="27" t="s">
        <v>56</v>
      </c>
      <c r="M22" s="27" t="s">
        <v>34</v>
      </c>
    </row>
    <row r="23" customFormat="false" ht="24" hidden="false" customHeight="true" outlineLevel="0" collapsed="false">
      <c r="B23" s="28" t="s">
        <v>61</v>
      </c>
      <c r="C23" s="69" t="s">
        <v>47</v>
      </c>
      <c r="D23" s="72" t="n">
        <v>20.2</v>
      </c>
      <c r="E23" s="37" t="s">
        <v>48</v>
      </c>
      <c r="F23" s="20" t="n">
        <v>37.4</v>
      </c>
      <c r="G23" s="22" t="n">
        <v>18.7</v>
      </c>
      <c r="H23" s="25" t="n">
        <v>22.3</v>
      </c>
      <c r="I23" s="31" t="n">
        <v>0</v>
      </c>
      <c r="J23" s="31" t="n">
        <v>49.1</v>
      </c>
      <c r="K23" s="37" t="s">
        <v>146</v>
      </c>
      <c r="L23" s="32" t="s">
        <v>56</v>
      </c>
      <c r="M23" s="32" t="s">
        <v>34</v>
      </c>
    </row>
    <row r="24" customFormat="false" ht="24" hidden="false" customHeight="true" outlineLevel="0" collapsed="false">
      <c r="B24" s="16" t="s">
        <v>62</v>
      </c>
      <c r="C24" s="66" t="s">
        <v>47</v>
      </c>
      <c r="D24" s="72" t="n">
        <v>19.8</v>
      </c>
      <c r="E24" s="37" t="s">
        <v>48</v>
      </c>
      <c r="F24" s="20" t="n">
        <v>33.3</v>
      </c>
      <c r="G24" s="22" t="n">
        <v>16.6</v>
      </c>
      <c r="H24" s="26" t="n">
        <v>14.8</v>
      </c>
      <c r="I24" s="26" t="n">
        <v>0</v>
      </c>
      <c r="J24" s="26" t="n">
        <v>41.7</v>
      </c>
      <c r="K24" s="37" t="s">
        <v>146</v>
      </c>
      <c r="L24" s="27" t="s">
        <v>56</v>
      </c>
      <c r="M24" s="27" t="s">
        <v>49</v>
      </c>
    </row>
    <row r="25" customFormat="false" ht="24" hidden="false" customHeight="true" outlineLevel="0" collapsed="false">
      <c r="B25" s="28" t="s">
        <v>63</v>
      </c>
      <c r="C25" s="69" t="s">
        <v>47</v>
      </c>
      <c r="D25" s="72" t="n">
        <v>19.2</v>
      </c>
      <c r="E25" s="37" t="s">
        <v>48</v>
      </c>
      <c r="F25" s="20" t="n">
        <v>34.6</v>
      </c>
      <c r="G25" s="22" t="n">
        <v>17.3</v>
      </c>
      <c r="H25" s="25" t="n">
        <v>19.8</v>
      </c>
      <c r="I25" s="31" t="n">
        <v>0</v>
      </c>
      <c r="J25" s="31" t="n">
        <v>45.8</v>
      </c>
      <c r="K25" s="37" t="s">
        <v>146</v>
      </c>
      <c r="L25" s="32" t="s">
        <v>56</v>
      </c>
      <c r="M25" s="32" t="s">
        <v>34</v>
      </c>
    </row>
    <row r="26" customFormat="false" ht="24" hidden="false" customHeight="true" outlineLevel="0" collapsed="false">
      <c r="B26" s="16" t="s">
        <v>64</v>
      </c>
      <c r="C26" s="66" t="s">
        <v>47</v>
      </c>
      <c r="D26" s="72" t="n">
        <v>16.6</v>
      </c>
      <c r="E26" s="37" t="s">
        <v>48</v>
      </c>
      <c r="F26" s="20" t="n">
        <v>39.6</v>
      </c>
      <c r="G26" s="22" t="n">
        <v>19.8</v>
      </c>
      <c r="H26" s="25" t="n">
        <v>16.7</v>
      </c>
      <c r="I26" s="26" t="n">
        <v>0</v>
      </c>
      <c r="J26" s="26" t="n">
        <v>43.8</v>
      </c>
      <c r="K26" s="37" t="s">
        <v>146</v>
      </c>
      <c r="L26" s="27" t="s">
        <v>56</v>
      </c>
      <c r="M26" s="27" t="s">
        <v>49</v>
      </c>
    </row>
    <row r="27" customFormat="false" ht="24" hidden="false" customHeight="true" outlineLevel="0" collapsed="false">
      <c r="B27" s="28" t="s">
        <v>65</v>
      </c>
      <c r="C27" s="69" t="s">
        <v>47</v>
      </c>
      <c r="D27" s="72" t="n">
        <v>5.9</v>
      </c>
      <c r="E27" s="37" t="s">
        <v>48</v>
      </c>
      <c r="F27" s="39" t="n">
        <v>41.7</v>
      </c>
      <c r="G27" s="22" t="n">
        <v>30.9</v>
      </c>
      <c r="H27" s="25" t="n">
        <v>16</v>
      </c>
      <c r="I27" s="31" t="n">
        <v>0</v>
      </c>
      <c r="J27" s="31" t="n">
        <v>44.9</v>
      </c>
      <c r="K27" s="37" t="s">
        <v>146</v>
      </c>
      <c r="L27" s="32" t="s">
        <v>66</v>
      </c>
      <c r="M27" s="32" t="s">
        <v>49</v>
      </c>
    </row>
    <row r="28" customFormat="false" ht="24" hidden="false" customHeight="true" outlineLevel="0" collapsed="false">
      <c r="B28" s="16" t="s">
        <v>67</v>
      </c>
      <c r="C28" s="66" t="s">
        <v>47</v>
      </c>
      <c r="D28" s="72" t="n">
        <v>5.2</v>
      </c>
      <c r="E28" s="37" t="s">
        <v>48</v>
      </c>
      <c r="F28" s="39" t="n">
        <v>80</v>
      </c>
      <c r="G28" s="22" t="n">
        <v>35</v>
      </c>
      <c r="H28" s="38" t="n">
        <v>37.8</v>
      </c>
      <c r="I28" s="26" t="n">
        <v>0</v>
      </c>
      <c r="J28" s="26" t="n">
        <v>88.1</v>
      </c>
      <c r="K28" s="37" t="s">
        <v>146</v>
      </c>
      <c r="L28" s="27" t="s">
        <v>66</v>
      </c>
      <c r="M28" s="27" t="s">
        <v>34</v>
      </c>
    </row>
    <row r="29" customFormat="false" ht="24" hidden="false" customHeight="true" outlineLevel="0" collapsed="false">
      <c r="B29" s="28" t="s">
        <v>68</v>
      </c>
      <c r="C29" s="69" t="s">
        <v>41</v>
      </c>
      <c r="D29" s="72" t="n">
        <v>0</v>
      </c>
      <c r="E29" s="37" t="s">
        <v>48</v>
      </c>
      <c r="F29" s="39" t="n">
        <v>88</v>
      </c>
      <c r="G29" s="22" t="n">
        <v>35</v>
      </c>
      <c r="H29" s="31" t="n">
        <v>12.1</v>
      </c>
      <c r="I29" s="31" t="n">
        <v>0</v>
      </c>
      <c r="J29" s="31" t="n">
        <v>40.7</v>
      </c>
      <c r="K29" s="37" t="s">
        <v>146</v>
      </c>
      <c r="L29" s="32" t="s">
        <v>66</v>
      </c>
      <c r="M29" s="32" t="s">
        <v>49</v>
      </c>
    </row>
    <row r="30" customFormat="false" ht="19.5" hidden="false" customHeight="true" outlineLevel="0" collapsed="false">
      <c r="A30" s="1"/>
      <c r="B30" s="40" t="str">
        <f aca="false">COUNTIF(K8:K29,"🔴 CRITICAL")&amp;" communities CRITICAL  ·  "&amp;COUNTIF(K8:K29,"🟡 WARNING")&amp;" WARNING  ·  "&amp;COUNTIF(K8:K29,"🟢 OPTIMIZE")&amp;" OPTIMIZE"</f>
        <v>17 communities CRITICAL  ·  3 WARNING  ·  2 OPTIMIZE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</sheetData>
  <mergeCells count="4">
    <mergeCell ref="B2:M2"/>
    <mergeCell ref="B3:M3"/>
    <mergeCell ref="B5:M5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2026-03-31T02:40:19Z</dcterms:created>
  <dc:creator>openpyxl</dc:creator>
  <dc:description/>
  <dc:language>en-US</dc:language>
  <cp:lastModifiedBy/>
  <dcterms:modified xsi:type="dcterms:W3CDTF">2026-03-31T02:40:19Z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